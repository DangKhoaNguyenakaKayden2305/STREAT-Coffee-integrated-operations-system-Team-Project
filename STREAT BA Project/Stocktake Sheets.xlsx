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reatltd.sharepoint.com/sites/STREATOperationsProjects/Shared Documents/Systems Review/RMIT/"/>
    </mc:Choice>
  </mc:AlternateContent>
  <xr:revisionPtr revIDLastSave="18" documentId="8_{B3EB4EFE-5E0E-4D5C-8F81-23C18777D174}" xr6:coauthVersionLast="47" xr6:coauthVersionMax="47" xr10:uidLastSave="{E9254B4F-5BF5-42AF-A1AA-B3B7B6BF9E63}"/>
  <bookViews>
    <workbookView xWindow="-120" yWindow="-120" windowWidth="29040" windowHeight="15840" xr2:uid="{62CAA0DD-EFC5-48A4-8365-875BECA871A7}"/>
  </bookViews>
  <sheets>
    <sheet name="Production Kitchen stocktake" sheetId="4" r:id="rId1"/>
    <sheet name="Stock Count Form - city sites" sheetId="3" r:id="rId2"/>
    <sheet name="Bakery stocktake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30" i="4" l="1"/>
  <c r="F1429" i="4"/>
  <c r="F1428" i="4"/>
  <c r="F1427" i="4"/>
  <c r="F1426" i="4"/>
  <c r="F1425" i="4"/>
  <c r="F1424" i="4"/>
  <c r="F1423" i="4"/>
  <c r="F1422" i="4"/>
  <c r="F1421" i="4"/>
  <c r="F1420" i="4"/>
  <c r="F1419" i="4"/>
  <c r="F1418" i="4"/>
  <c r="F1417" i="4"/>
  <c r="F1416" i="4"/>
  <c r="F1415" i="4"/>
  <c r="F1414" i="4"/>
  <c r="F1413" i="4"/>
  <c r="F1412" i="4"/>
  <c r="F1411" i="4"/>
  <c r="F1410" i="4"/>
  <c r="F1409" i="4"/>
  <c r="F1408" i="4"/>
  <c r="F1407" i="4"/>
  <c r="F1406" i="4"/>
  <c r="F1405" i="4"/>
  <c r="F1404" i="4"/>
  <c r="F1403" i="4"/>
  <c r="F1402" i="4"/>
  <c r="F1401" i="4"/>
  <c r="F1400" i="4"/>
  <c r="F1399" i="4"/>
  <c r="F1398" i="4"/>
  <c r="F1397" i="4"/>
  <c r="F1396" i="4"/>
  <c r="F1395" i="4"/>
  <c r="F1394" i="4"/>
  <c r="F1393" i="4"/>
  <c r="F1392" i="4"/>
  <c r="F1391" i="4"/>
  <c r="F1390" i="4"/>
  <c r="F1389" i="4"/>
  <c r="F1388" i="4"/>
  <c r="F1387" i="4"/>
  <c r="F1386" i="4"/>
  <c r="F1385" i="4"/>
  <c r="F1384" i="4"/>
  <c r="F1383" i="4"/>
  <c r="F1382" i="4"/>
  <c r="F1381" i="4"/>
  <c r="F1380" i="4"/>
  <c r="F1379" i="4"/>
  <c r="F1378" i="4"/>
  <c r="F1377" i="4"/>
  <c r="F1376" i="4"/>
  <c r="F1375" i="4"/>
  <c r="F1374" i="4"/>
  <c r="F1373" i="4"/>
  <c r="F1372" i="4"/>
  <c r="F1371" i="4"/>
  <c r="F1370" i="4"/>
  <c r="F1369" i="4"/>
  <c r="F1368" i="4"/>
  <c r="F1367" i="4"/>
  <c r="F1366" i="4"/>
  <c r="F1365" i="4"/>
  <c r="F1364" i="4"/>
  <c r="F1363" i="4"/>
  <c r="F1362" i="4"/>
  <c r="F1361" i="4"/>
  <c r="F1360" i="4"/>
  <c r="F1359" i="4"/>
  <c r="F1358" i="4"/>
  <c r="F1357" i="4"/>
  <c r="F1356" i="4"/>
  <c r="F1355" i="4"/>
  <c r="F1354" i="4"/>
  <c r="F1353" i="4"/>
  <c r="F1352" i="4"/>
  <c r="F1351" i="4"/>
  <c r="F1350" i="4"/>
  <c r="F1349" i="4"/>
  <c r="F1348" i="4"/>
  <c r="F1347" i="4"/>
  <c r="F1346" i="4"/>
  <c r="F1345" i="4"/>
  <c r="F1344" i="4"/>
  <c r="F1343" i="4"/>
  <c r="F1342" i="4"/>
  <c r="F1341" i="4"/>
  <c r="F1340" i="4"/>
  <c r="F1339" i="4"/>
  <c r="F1338" i="4"/>
  <c r="F1337" i="4"/>
  <c r="F1336" i="4"/>
  <c r="F1335" i="4"/>
  <c r="F1334" i="4"/>
  <c r="F1333" i="4"/>
  <c r="F1332" i="4"/>
  <c r="F1331" i="4"/>
  <c r="F1330" i="4"/>
  <c r="F1329" i="4"/>
  <c r="F1328" i="4"/>
  <c r="F1327" i="4"/>
  <c r="F1326" i="4"/>
  <c r="F1325" i="4"/>
  <c r="F1324" i="4"/>
  <c r="F1323" i="4"/>
  <c r="F1322" i="4"/>
  <c r="F1321" i="4"/>
  <c r="F1320" i="4"/>
  <c r="F1319" i="4"/>
  <c r="F1318" i="4"/>
  <c r="F1317" i="4"/>
  <c r="F1316" i="4"/>
  <c r="F1315" i="4"/>
  <c r="F1314" i="4"/>
  <c r="F1313" i="4"/>
  <c r="F1312" i="4"/>
  <c r="F1311" i="4"/>
  <c r="F1310" i="4"/>
  <c r="F1309" i="4"/>
  <c r="F1308" i="4"/>
  <c r="F1307" i="4"/>
  <c r="F1306" i="4"/>
  <c r="F1305" i="4"/>
  <c r="F1304" i="4"/>
  <c r="F1303" i="4"/>
  <c r="F1302" i="4"/>
  <c r="F1301" i="4"/>
  <c r="F1300" i="4"/>
  <c r="F1299" i="4"/>
  <c r="F1298" i="4"/>
  <c r="F1297" i="4"/>
  <c r="F1296" i="4"/>
  <c r="F1295" i="4"/>
  <c r="F1294" i="4"/>
  <c r="F1293" i="4"/>
  <c r="F1292" i="4"/>
  <c r="F1291" i="4"/>
  <c r="F1290" i="4"/>
  <c r="F1289" i="4"/>
  <c r="F1288" i="4"/>
  <c r="F1287" i="4"/>
  <c r="F1286" i="4"/>
  <c r="F1285" i="4"/>
  <c r="F1284" i="4"/>
  <c r="F1283" i="4"/>
  <c r="F1282" i="4"/>
  <c r="F1281" i="4"/>
  <c r="F1280" i="4"/>
  <c r="F1279" i="4"/>
  <c r="F1278" i="4"/>
  <c r="F1277" i="4"/>
  <c r="F1276" i="4"/>
  <c r="F1275" i="4"/>
  <c r="F1274" i="4"/>
  <c r="F1273" i="4"/>
  <c r="F1272" i="4"/>
  <c r="F1271" i="4"/>
  <c r="F1270" i="4"/>
  <c r="F1269" i="4"/>
  <c r="F1268" i="4"/>
  <c r="F1267" i="4"/>
  <c r="F1266" i="4"/>
  <c r="F1265" i="4"/>
  <c r="F1264" i="4"/>
  <c r="F1263" i="4"/>
  <c r="F1262" i="4"/>
  <c r="F1261" i="4"/>
  <c r="F1260" i="4"/>
  <c r="F1259" i="4"/>
  <c r="F1258" i="4"/>
  <c r="F1257" i="4"/>
  <c r="F1256" i="4"/>
  <c r="F1255" i="4"/>
  <c r="F1254" i="4"/>
  <c r="F1253" i="4"/>
  <c r="F1252" i="4"/>
  <c r="F1251" i="4"/>
  <c r="F1250" i="4"/>
  <c r="F1249" i="4"/>
  <c r="F1248" i="4"/>
  <c r="F1247" i="4"/>
  <c r="F1246" i="4"/>
  <c r="F1245" i="4"/>
  <c r="F1244" i="4"/>
  <c r="F1241" i="4"/>
  <c r="F1240" i="4"/>
  <c r="F1239" i="4"/>
  <c r="F1238" i="4"/>
  <c r="F1237" i="4"/>
  <c r="F1236" i="4"/>
  <c r="F1235" i="4"/>
  <c r="F1234" i="4"/>
  <c r="F1233" i="4"/>
  <c r="F1232" i="4"/>
  <c r="F1231" i="4"/>
  <c r="F1230" i="4"/>
  <c r="F1229" i="4"/>
  <c r="F1228" i="4"/>
  <c r="F1227" i="4"/>
  <c r="F1226" i="4"/>
  <c r="F1225" i="4"/>
  <c r="F1224" i="4"/>
  <c r="F1223" i="4"/>
  <c r="F1222" i="4"/>
  <c r="F1221" i="4"/>
  <c r="F1220" i="4"/>
  <c r="F1219" i="4"/>
  <c r="F1217" i="4"/>
  <c r="F1216" i="4"/>
  <c r="F1215" i="4"/>
  <c r="F1214" i="4"/>
  <c r="F1213" i="4"/>
  <c r="F1212" i="4"/>
  <c r="F1211" i="4"/>
  <c r="F1210" i="4"/>
  <c r="F1209" i="4"/>
  <c r="F1208" i="4"/>
  <c r="F1207" i="4"/>
  <c r="F1206" i="4"/>
  <c r="F1205" i="4"/>
  <c r="F1204" i="4"/>
  <c r="F1203" i="4"/>
  <c r="F1202" i="4"/>
  <c r="F1201" i="4"/>
  <c r="F1200" i="4"/>
  <c r="F1199" i="4"/>
  <c r="F1198" i="4"/>
  <c r="F1197" i="4"/>
  <c r="F1196" i="4"/>
  <c r="F1195" i="4"/>
  <c r="F1194" i="4"/>
  <c r="F1193" i="4"/>
  <c r="F1192" i="4"/>
  <c r="F1191" i="4"/>
  <c r="F1190" i="4"/>
  <c r="F1189" i="4"/>
  <c r="F1188" i="4"/>
  <c r="F1187" i="4"/>
  <c r="F1186" i="4"/>
  <c r="F1185" i="4"/>
  <c r="F1184" i="4"/>
  <c r="F1183" i="4"/>
  <c r="F1182" i="4"/>
  <c r="F1181" i="4"/>
  <c r="F1180" i="4"/>
  <c r="F1179" i="4"/>
  <c r="F1178" i="4"/>
  <c r="F1177" i="4"/>
  <c r="F1176" i="4"/>
  <c r="F1175" i="4"/>
  <c r="F1174" i="4"/>
  <c r="F1173" i="4"/>
  <c r="F1172" i="4"/>
  <c r="F1171" i="4"/>
  <c r="F1170" i="4"/>
  <c r="F1169" i="4"/>
  <c r="F1168" i="4"/>
  <c r="F1167" i="4"/>
  <c r="F1166" i="4"/>
  <c r="F1165" i="4"/>
  <c r="F1164" i="4"/>
  <c r="F1163" i="4"/>
  <c r="F1162" i="4"/>
  <c r="F1161" i="4"/>
  <c r="F1160" i="4"/>
  <c r="F1159" i="4"/>
  <c r="F1158" i="4"/>
  <c r="F1157" i="4"/>
  <c r="F1156" i="4"/>
  <c r="F1155" i="4"/>
  <c r="F1154" i="4"/>
  <c r="F1153" i="4"/>
  <c r="F1152" i="4"/>
  <c r="F1151" i="4"/>
  <c r="F1150" i="4"/>
  <c r="F1149" i="4"/>
  <c r="F1148" i="4"/>
  <c r="F1147" i="4"/>
  <c r="F1146" i="4"/>
  <c r="F1145" i="4"/>
  <c r="F1144" i="4"/>
  <c r="F1143" i="4"/>
  <c r="F1142" i="4"/>
  <c r="F1141" i="4"/>
  <c r="F1140" i="4"/>
  <c r="F1139" i="4"/>
  <c r="F1138" i="4"/>
  <c r="F1137" i="4"/>
  <c r="F1136" i="4"/>
  <c r="F1135" i="4"/>
  <c r="F1134" i="4"/>
  <c r="F1133" i="4"/>
  <c r="F1132" i="4"/>
  <c r="F1131" i="4"/>
  <c r="F1130" i="4"/>
  <c r="F1129" i="4"/>
  <c r="F1128" i="4"/>
  <c r="F1127" i="4"/>
  <c r="F1126" i="4"/>
  <c r="F1125" i="4"/>
  <c r="F1124" i="4"/>
  <c r="F1123" i="4"/>
  <c r="F1122" i="4"/>
  <c r="F1121" i="4"/>
  <c r="F1120" i="4"/>
  <c r="F1119" i="4"/>
  <c r="F1118" i="4"/>
  <c r="F1117" i="4"/>
  <c r="F1116" i="4"/>
  <c r="K1115" i="4"/>
  <c r="F1115" i="4"/>
  <c r="F1114" i="4"/>
  <c r="F1113" i="4"/>
  <c r="F1112" i="4"/>
  <c r="F1111" i="4"/>
  <c r="F1110" i="4"/>
  <c r="F1109" i="4"/>
  <c r="F1108" i="4"/>
  <c r="F1107" i="4"/>
  <c r="F1106" i="4"/>
  <c r="F1105" i="4"/>
  <c r="F1104" i="4"/>
  <c r="F1103" i="4"/>
  <c r="F1102" i="4"/>
  <c r="F1101" i="4"/>
  <c r="F1100" i="4"/>
  <c r="F1099" i="4"/>
  <c r="F1098" i="4"/>
  <c r="F1097" i="4"/>
  <c r="F1096" i="4"/>
  <c r="F1095" i="4"/>
  <c r="F1094" i="4"/>
  <c r="F1093" i="4"/>
  <c r="F1092" i="4"/>
  <c r="F1091" i="4"/>
  <c r="F1090" i="4"/>
  <c r="F1089" i="4"/>
  <c r="F1088" i="4"/>
  <c r="F1087" i="4"/>
  <c r="F1086" i="4"/>
  <c r="F1085" i="4"/>
  <c r="F1084" i="4"/>
  <c r="F1083" i="4"/>
  <c r="F1082" i="4"/>
  <c r="F1081" i="4"/>
  <c r="F1080" i="4"/>
  <c r="F1079" i="4"/>
  <c r="F1078" i="4"/>
  <c r="F1077" i="4"/>
  <c r="F1076" i="4"/>
  <c r="F1075" i="4"/>
  <c r="F1074" i="4"/>
  <c r="F1073" i="4"/>
  <c r="F1072" i="4"/>
  <c r="F1071" i="4"/>
  <c r="F1070" i="4"/>
  <c r="F1069" i="4"/>
  <c r="F1068" i="4"/>
  <c r="F1067" i="4"/>
  <c r="F1066" i="4"/>
  <c r="F1065" i="4"/>
  <c r="F1064" i="4"/>
  <c r="F1063" i="4"/>
  <c r="F1062" i="4"/>
  <c r="F1061" i="4"/>
  <c r="F1060" i="4"/>
  <c r="F1059" i="4"/>
  <c r="F1058" i="4"/>
  <c r="F1057" i="4"/>
  <c r="F1056" i="4"/>
  <c r="F1055" i="4"/>
  <c r="F1054" i="4"/>
  <c r="F1053" i="4"/>
  <c r="F1052" i="4"/>
  <c r="F1051" i="4"/>
  <c r="F1050" i="4"/>
  <c r="F1049" i="4"/>
  <c r="F1048" i="4"/>
  <c r="F1047" i="4"/>
  <c r="F1046" i="4"/>
  <c r="F1045" i="4"/>
  <c r="F1044" i="4"/>
  <c r="F1043" i="4"/>
  <c r="F1042" i="4"/>
  <c r="F1041" i="4"/>
  <c r="F1040" i="4"/>
  <c r="F1039" i="4"/>
  <c r="F1038" i="4"/>
  <c r="F1037" i="4"/>
  <c r="F1036" i="4"/>
  <c r="F1035" i="4"/>
  <c r="F1034" i="4"/>
  <c r="F1033" i="4"/>
  <c r="F1032" i="4"/>
  <c r="F1031" i="4"/>
  <c r="F1030" i="4"/>
  <c r="F1029" i="4"/>
  <c r="F1028" i="4"/>
  <c r="F1027" i="4"/>
  <c r="F1026" i="4"/>
  <c r="F1025" i="4"/>
  <c r="F1024" i="4"/>
  <c r="F1023" i="4"/>
  <c r="F1022" i="4"/>
  <c r="F1021" i="4"/>
  <c r="F1020" i="4"/>
  <c r="F1019" i="4"/>
  <c r="F1018" i="4"/>
  <c r="F1017" i="4"/>
  <c r="F1016" i="4"/>
  <c r="F1015" i="4"/>
  <c r="F1014" i="4"/>
  <c r="F1013" i="4"/>
  <c r="F1012" i="4"/>
  <c r="F1011" i="4"/>
  <c r="F1010" i="4"/>
  <c r="F1009" i="4"/>
  <c r="F1008" i="4"/>
  <c r="F1007" i="4"/>
  <c r="F1006" i="4"/>
  <c r="F1005" i="4"/>
  <c r="F1004" i="4"/>
  <c r="F1003" i="4"/>
  <c r="F1002" i="4"/>
  <c r="F1001" i="4"/>
  <c r="F1000" i="4"/>
  <c r="F999" i="4"/>
  <c r="F998" i="4"/>
  <c r="F997" i="4"/>
  <c r="F996" i="4"/>
  <c r="F995" i="4"/>
  <c r="F994" i="4"/>
  <c r="F993" i="4"/>
  <c r="F992" i="4"/>
  <c r="F991" i="4"/>
  <c r="F990" i="4"/>
  <c r="F989" i="4"/>
  <c r="F988" i="4"/>
  <c r="F987" i="4"/>
  <c r="F986" i="4"/>
  <c r="F985" i="4"/>
  <c r="F984" i="4"/>
  <c r="F983" i="4"/>
  <c r="F982" i="4"/>
  <c r="F981" i="4"/>
  <c r="F980" i="4"/>
  <c r="F979" i="4"/>
  <c r="F978" i="4"/>
  <c r="F977" i="4"/>
  <c r="F976" i="4"/>
  <c r="F975" i="4"/>
  <c r="F974" i="4"/>
  <c r="F973" i="4"/>
  <c r="F972" i="4"/>
  <c r="F971" i="4"/>
  <c r="F970" i="4"/>
  <c r="F969" i="4"/>
  <c r="F968" i="4"/>
  <c r="F967" i="4"/>
  <c r="F966" i="4"/>
  <c r="F965" i="4"/>
  <c r="F963" i="4"/>
  <c r="F962" i="4"/>
  <c r="F961" i="4"/>
  <c r="F960" i="4"/>
  <c r="F959" i="4"/>
  <c r="F958" i="4"/>
  <c r="F957" i="4"/>
  <c r="F956" i="4"/>
  <c r="F955" i="4"/>
  <c r="F954" i="4"/>
  <c r="F953" i="4"/>
  <c r="F952" i="4"/>
  <c r="F951" i="4"/>
  <c r="F950" i="4"/>
  <c r="F949" i="4"/>
  <c r="F948" i="4"/>
  <c r="F947" i="4"/>
  <c r="F946" i="4"/>
  <c r="F945" i="4"/>
  <c r="F944" i="4"/>
  <c r="F943" i="4"/>
  <c r="F942" i="4"/>
  <c r="F941" i="4"/>
  <c r="F940" i="4"/>
  <c r="F939" i="4"/>
  <c r="F938" i="4"/>
  <c r="F937" i="4"/>
  <c r="F936" i="4"/>
  <c r="F935" i="4"/>
  <c r="F934" i="4"/>
  <c r="F933" i="4"/>
  <c r="F932" i="4"/>
  <c r="F931" i="4"/>
  <c r="F930" i="4"/>
  <c r="F929" i="4"/>
  <c r="F928" i="4"/>
  <c r="F927" i="4"/>
  <c r="F926" i="4"/>
  <c r="F925" i="4"/>
  <c r="F924" i="4"/>
  <c r="F923" i="4"/>
  <c r="F922" i="4"/>
  <c r="F921" i="4"/>
  <c r="F920" i="4"/>
  <c r="F919" i="4"/>
  <c r="F918" i="4"/>
  <c r="F917" i="4"/>
  <c r="F916" i="4"/>
  <c r="F915" i="4"/>
  <c r="F914" i="4"/>
  <c r="F913" i="4"/>
  <c r="F912" i="4"/>
  <c r="F911" i="4"/>
  <c r="F910" i="4"/>
  <c r="F909" i="4"/>
  <c r="F908" i="4"/>
  <c r="F907" i="4"/>
  <c r="F906" i="4"/>
  <c r="F905" i="4"/>
  <c r="F904" i="4"/>
  <c r="F903" i="4"/>
  <c r="F902" i="4"/>
  <c r="F901" i="4"/>
  <c r="F900" i="4"/>
  <c r="F899" i="4"/>
  <c r="F898" i="4"/>
  <c r="F897" i="4"/>
  <c r="F896" i="4"/>
  <c r="F895" i="4"/>
  <c r="F894" i="4"/>
  <c r="F893" i="4"/>
  <c r="F892" i="4"/>
  <c r="F891" i="4"/>
  <c r="F890" i="4"/>
  <c r="F889" i="4"/>
  <c r="F888" i="4"/>
  <c r="F887" i="4"/>
  <c r="F886" i="4"/>
  <c r="F885" i="4"/>
  <c r="F884" i="4"/>
  <c r="F883" i="4"/>
  <c r="F882" i="4"/>
  <c r="F881" i="4"/>
  <c r="F880" i="4"/>
  <c r="F879" i="4"/>
  <c r="F878" i="4"/>
  <c r="F877" i="4"/>
  <c r="F876" i="4"/>
  <c r="F875" i="4"/>
  <c r="F874" i="4"/>
  <c r="F873" i="4"/>
  <c r="F872" i="4"/>
  <c r="F871" i="4"/>
  <c r="F870" i="4"/>
  <c r="F869" i="4"/>
  <c r="F868" i="4"/>
  <c r="F867" i="4"/>
  <c r="F866" i="4"/>
  <c r="F865" i="4"/>
  <c r="F864" i="4"/>
  <c r="F863" i="4"/>
  <c r="F862" i="4"/>
  <c r="F861" i="4"/>
  <c r="F860" i="4"/>
  <c r="F859" i="4"/>
  <c r="F858" i="4"/>
  <c r="F857" i="4"/>
  <c r="F856" i="4"/>
  <c r="F855" i="4"/>
  <c r="F854" i="4"/>
  <c r="F853" i="4"/>
  <c r="F852" i="4"/>
  <c r="F851" i="4"/>
  <c r="D851" i="4"/>
  <c r="F850" i="4"/>
  <c r="F849" i="4"/>
  <c r="F848" i="4"/>
  <c r="F847" i="4"/>
  <c r="F846" i="4"/>
  <c r="F845" i="4"/>
  <c r="F844" i="4"/>
  <c r="F843" i="4"/>
  <c r="F842" i="4"/>
  <c r="F841" i="4"/>
  <c r="F840" i="4"/>
  <c r="F839" i="4"/>
  <c r="F838" i="4"/>
  <c r="F837" i="4"/>
  <c r="F836" i="4"/>
  <c r="F835" i="4"/>
  <c r="F834" i="4"/>
  <c r="F833" i="4"/>
  <c r="F832" i="4"/>
  <c r="F831" i="4"/>
  <c r="F830" i="4"/>
  <c r="F829" i="4"/>
  <c r="F828" i="4"/>
  <c r="F827" i="4"/>
  <c r="F826" i="4"/>
  <c r="F825" i="4"/>
  <c r="E824" i="4"/>
  <c r="F824" i="4" s="1"/>
  <c r="F823" i="4"/>
  <c r="F822" i="4"/>
  <c r="F821" i="4"/>
  <c r="F820" i="4"/>
  <c r="F819" i="4"/>
  <c r="F818" i="4"/>
  <c r="F817" i="4"/>
  <c r="F816" i="4"/>
  <c r="F815" i="4"/>
  <c r="F814" i="4"/>
  <c r="F813" i="4"/>
  <c r="F812" i="4"/>
  <c r="F811" i="4"/>
  <c r="F810" i="4"/>
  <c r="F809" i="4"/>
  <c r="F808" i="4"/>
  <c r="F807" i="4"/>
  <c r="F806" i="4"/>
  <c r="F805" i="4"/>
  <c r="F804" i="4"/>
  <c r="F803" i="4"/>
  <c r="F802" i="4"/>
  <c r="F801" i="4"/>
  <c r="F800" i="4"/>
  <c r="F799" i="4"/>
  <c r="F798" i="4"/>
  <c r="F797" i="4"/>
  <c r="F796" i="4"/>
  <c r="F795" i="4"/>
  <c r="F794" i="4"/>
  <c r="F793" i="4"/>
  <c r="F792" i="4"/>
  <c r="F791" i="4"/>
  <c r="F790" i="4"/>
  <c r="F789" i="4"/>
  <c r="F788" i="4"/>
  <c r="F787" i="4"/>
  <c r="F786" i="4"/>
  <c r="F785" i="4"/>
  <c r="F784" i="4"/>
  <c r="F783" i="4"/>
  <c r="F782" i="4"/>
  <c r="F781" i="4"/>
  <c r="F780" i="4"/>
  <c r="F779" i="4"/>
  <c r="F778" i="4"/>
  <c r="F777" i="4"/>
  <c r="F776" i="4"/>
  <c r="F775" i="4"/>
  <c r="F774" i="4"/>
  <c r="F773" i="4"/>
  <c r="F772" i="4"/>
  <c r="F771" i="4"/>
  <c r="F770" i="4"/>
  <c r="F769" i="4"/>
  <c r="F768" i="4"/>
  <c r="F767" i="4"/>
  <c r="F766" i="4"/>
  <c r="F765" i="4"/>
  <c r="F764" i="4"/>
  <c r="F763" i="4"/>
  <c r="F762" i="4"/>
  <c r="F761" i="4"/>
  <c r="F760" i="4"/>
  <c r="F759" i="4"/>
  <c r="F758" i="4"/>
  <c r="F757" i="4"/>
  <c r="F756" i="4"/>
  <c r="F755" i="4"/>
  <c r="F754" i="4"/>
  <c r="F753" i="4"/>
  <c r="F752" i="4"/>
  <c r="F751" i="4"/>
  <c r="F750" i="4"/>
  <c r="F749" i="4"/>
  <c r="F748" i="4"/>
  <c r="F747" i="4"/>
  <c r="F746" i="4"/>
  <c r="F745" i="4"/>
  <c r="F744" i="4"/>
  <c r="F743" i="4"/>
  <c r="F742" i="4"/>
  <c r="F741" i="4"/>
  <c r="F740" i="4"/>
  <c r="F739" i="4"/>
  <c r="F738" i="4"/>
  <c r="F737" i="4"/>
  <c r="F736" i="4"/>
  <c r="F735" i="4"/>
  <c r="F734" i="4"/>
  <c r="F733" i="4"/>
  <c r="F732" i="4"/>
  <c r="F731" i="4"/>
  <c r="F730" i="4"/>
  <c r="F729" i="4"/>
  <c r="F728" i="4"/>
  <c r="F727" i="4"/>
  <c r="F726" i="4"/>
  <c r="F725" i="4"/>
  <c r="F724" i="4"/>
  <c r="F723" i="4"/>
  <c r="F722" i="4"/>
  <c r="F721" i="4"/>
  <c r="F720" i="4"/>
  <c r="F719" i="4"/>
  <c r="F718" i="4"/>
  <c r="F717" i="4"/>
  <c r="F716" i="4"/>
  <c r="F715" i="4"/>
  <c r="F714" i="4"/>
  <c r="J713" i="4"/>
  <c r="F713" i="4"/>
  <c r="F712" i="4"/>
  <c r="F711" i="4"/>
  <c r="J710" i="4"/>
  <c r="F710" i="4"/>
  <c r="F709" i="4"/>
  <c r="F708" i="4"/>
  <c r="F707" i="4"/>
  <c r="F706" i="4"/>
  <c r="F705" i="4"/>
  <c r="F704" i="4"/>
  <c r="F703" i="4"/>
  <c r="F702" i="4"/>
  <c r="F701" i="4"/>
  <c r="F700" i="4"/>
  <c r="F699" i="4"/>
  <c r="F698" i="4"/>
  <c r="F697" i="4"/>
  <c r="F696" i="4"/>
  <c r="F695" i="4"/>
  <c r="F694" i="4"/>
  <c r="F693" i="4"/>
  <c r="F692" i="4"/>
  <c r="F691" i="4"/>
  <c r="F690" i="4"/>
  <c r="F689" i="4"/>
  <c r="F688" i="4"/>
  <c r="F687" i="4"/>
  <c r="F686" i="4"/>
  <c r="F685" i="4"/>
  <c r="F684" i="4"/>
  <c r="F683" i="4"/>
  <c r="F682" i="4"/>
  <c r="F681" i="4"/>
  <c r="F680" i="4"/>
  <c r="F679" i="4"/>
  <c r="F678" i="4"/>
  <c r="F677" i="4"/>
  <c r="F676" i="4"/>
  <c r="F675" i="4"/>
  <c r="F674" i="4"/>
  <c r="F673" i="4"/>
  <c r="F672" i="4"/>
  <c r="F671" i="4"/>
  <c r="F670" i="4"/>
  <c r="F669" i="4"/>
  <c r="F668" i="4"/>
  <c r="F667" i="4"/>
  <c r="F666" i="4"/>
  <c r="F665" i="4"/>
  <c r="F664" i="4"/>
  <c r="F663" i="4"/>
  <c r="F662" i="4"/>
  <c r="F661" i="4"/>
  <c r="F660" i="4"/>
  <c r="F659" i="4"/>
  <c r="F658" i="4"/>
  <c r="F657" i="4"/>
  <c r="F656" i="4"/>
  <c r="F655" i="4"/>
  <c r="F654" i="4"/>
  <c r="F653" i="4"/>
  <c r="F652" i="4"/>
  <c r="F651" i="4"/>
  <c r="F650" i="4"/>
  <c r="F649" i="4"/>
  <c r="F648" i="4"/>
  <c r="F647" i="4"/>
  <c r="F646" i="4"/>
  <c r="F645" i="4"/>
  <c r="F644" i="4"/>
  <c r="F643" i="4"/>
  <c r="F642" i="4"/>
  <c r="F641" i="4"/>
  <c r="F640" i="4"/>
  <c r="F639" i="4"/>
  <c r="F638" i="4"/>
  <c r="F637" i="4"/>
  <c r="F636" i="4"/>
  <c r="F635" i="4"/>
  <c r="F634" i="4"/>
  <c r="F633" i="4"/>
  <c r="F632" i="4"/>
  <c r="F631" i="4"/>
  <c r="F630" i="4"/>
  <c r="F629" i="4"/>
  <c r="F628" i="4"/>
  <c r="F627" i="4"/>
  <c r="F626" i="4"/>
  <c r="D626" i="4"/>
  <c r="F625" i="4"/>
  <c r="F624" i="4"/>
  <c r="F623" i="4"/>
  <c r="F622" i="4"/>
  <c r="F621" i="4"/>
  <c r="F620" i="4"/>
  <c r="F619" i="4"/>
  <c r="F618" i="4"/>
  <c r="F617" i="4"/>
  <c r="F616" i="4"/>
  <c r="F615" i="4"/>
  <c r="F614" i="4"/>
  <c r="F613" i="4"/>
  <c r="F612" i="4"/>
  <c r="F611" i="4"/>
  <c r="F610" i="4"/>
  <c r="F609" i="4"/>
  <c r="F608" i="4"/>
  <c r="F607" i="4"/>
  <c r="F606" i="4"/>
  <c r="F605" i="4"/>
  <c r="F604" i="4"/>
  <c r="F603" i="4"/>
  <c r="F602" i="4"/>
  <c r="F601" i="4"/>
  <c r="F600" i="4"/>
  <c r="F598" i="4"/>
  <c r="F597" i="4"/>
  <c r="F596" i="4"/>
  <c r="F595" i="4"/>
  <c r="F594" i="4"/>
  <c r="F593" i="4"/>
  <c r="F592" i="4"/>
  <c r="F591" i="4"/>
  <c r="F590" i="4"/>
  <c r="F589" i="4"/>
  <c r="F588" i="4"/>
  <c r="F587" i="4"/>
  <c r="F586" i="4"/>
  <c r="F585" i="4"/>
  <c r="F584" i="4"/>
  <c r="F583" i="4"/>
  <c r="F582" i="4"/>
  <c r="F581" i="4"/>
  <c r="F580" i="4"/>
  <c r="F579" i="4"/>
  <c r="F578" i="4"/>
  <c r="F577" i="4"/>
  <c r="F576" i="4"/>
  <c r="F575" i="4"/>
  <c r="F574" i="4"/>
  <c r="F573" i="4"/>
  <c r="F572" i="4"/>
  <c r="F571" i="4"/>
  <c r="F570" i="4"/>
  <c r="F569" i="4"/>
  <c r="F568" i="4"/>
  <c r="F567" i="4"/>
  <c r="F566" i="4"/>
  <c r="F565" i="4"/>
  <c r="F564" i="4"/>
  <c r="F563" i="4"/>
  <c r="F562" i="4"/>
  <c r="F561" i="4"/>
  <c r="F560" i="4"/>
  <c r="F559" i="4"/>
  <c r="F558" i="4"/>
  <c r="F557" i="4"/>
  <c r="F556" i="4"/>
  <c r="F555" i="4"/>
  <c r="F554" i="4"/>
  <c r="F553" i="4"/>
  <c r="F552" i="4"/>
  <c r="F551" i="4"/>
  <c r="F550" i="4"/>
  <c r="F549" i="4"/>
  <c r="F548" i="4"/>
  <c r="F547" i="4"/>
  <c r="F546" i="4"/>
  <c r="F545" i="4"/>
  <c r="F544" i="4"/>
  <c r="F543" i="4"/>
  <c r="F542" i="4"/>
  <c r="F541" i="4"/>
  <c r="F540" i="4"/>
  <c r="F539" i="4"/>
  <c r="F538" i="4"/>
  <c r="F537" i="4"/>
  <c r="F536" i="4"/>
  <c r="F535" i="4"/>
  <c r="F534" i="4"/>
  <c r="F533" i="4"/>
  <c r="F531" i="4"/>
  <c r="F530" i="4"/>
  <c r="F529" i="4"/>
  <c r="F528" i="4"/>
  <c r="F527" i="4"/>
  <c r="F526" i="4"/>
  <c r="F525" i="4"/>
  <c r="F524" i="4"/>
  <c r="F523" i="4"/>
  <c r="F522" i="4"/>
  <c r="F521" i="4"/>
  <c r="F520" i="4"/>
  <c r="F519" i="4"/>
  <c r="F518" i="4"/>
  <c r="F517" i="4"/>
  <c r="F516" i="4"/>
  <c r="F515" i="4"/>
  <c r="F514" i="4"/>
  <c r="F513" i="4"/>
  <c r="F512" i="4"/>
  <c r="F511" i="4"/>
  <c r="F510" i="4"/>
  <c r="F509" i="4"/>
  <c r="F508" i="4"/>
  <c r="F507" i="4"/>
  <c r="F506" i="4"/>
  <c r="F505" i="4"/>
  <c r="F504" i="4"/>
  <c r="F503" i="4"/>
  <c r="F502" i="4"/>
  <c r="F501" i="4"/>
  <c r="F500" i="4"/>
  <c r="F499" i="4"/>
  <c r="F498" i="4"/>
  <c r="F497" i="4"/>
  <c r="F496" i="4"/>
  <c r="F495" i="4"/>
  <c r="F494" i="4"/>
  <c r="F493" i="4"/>
  <c r="F492" i="4"/>
  <c r="F491" i="4"/>
  <c r="F490" i="4"/>
  <c r="F489" i="4"/>
  <c r="F488" i="4"/>
  <c r="F487" i="4"/>
  <c r="F486" i="4"/>
  <c r="F485" i="4"/>
  <c r="F484" i="4"/>
  <c r="F483" i="4"/>
  <c r="F482" i="4"/>
  <c r="F481" i="4"/>
  <c r="F480" i="4"/>
  <c r="F479" i="4"/>
  <c r="F478" i="4"/>
  <c r="F477" i="4"/>
  <c r="F476" i="4"/>
  <c r="F475" i="4"/>
  <c r="F474" i="4"/>
  <c r="F473" i="4"/>
  <c r="F472" i="4"/>
  <c r="F471" i="4"/>
  <c r="F470" i="4"/>
  <c r="F469" i="4"/>
  <c r="F468" i="4"/>
  <c r="F467" i="4"/>
  <c r="F466" i="4"/>
  <c r="F465" i="4"/>
  <c r="F463" i="4"/>
  <c r="F462" i="4"/>
  <c r="F461" i="4"/>
  <c r="F460" i="4"/>
  <c r="F459" i="4"/>
  <c r="F458" i="4"/>
  <c r="F457" i="4"/>
  <c r="F456" i="4"/>
  <c r="F455" i="4"/>
  <c r="F454" i="4"/>
  <c r="F453" i="4"/>
  <c r="F452" i="4"/>
  <c r="F451" i="4"/>
  <c r="F450" i="4"/>
  <c r="F449" i="4"/>
  <c r="F448" i="4"/>
  <c r="F447" i="4"/>
  <c r="F446" i="4"/>
  <c r="F445" i="4"/>
  <c r="F444" i="4" a="1"/>
  <c r="F444" i="4" s="1"/>
  <c r="F442" i="4"/>
  <c r="F441" i="4"/>
  <c r="F440" i="4"/>
  <c r="F439" i="4"/>
  <c r="F438" i="4"/>
  <c r="F437" i="4"/>
  <c r="F436" i="4"/>
  <c r="F435" i="4"/>
  <c r="F434" i="4"/>
  <c r="F433" i="4"/>
  <c r="F432" i="4"/>
  <c r="F431" i="4"/>
  <c r="F430" i="4"/>
  <c r="F429" i="4"/>
  <c r="F428" i="4"/>
  <c r="F427" i="4"/>
  <c r="F425" i="4"/>
  <c r="F424" i="4"/>
  <c r="F423" i="4"/>
  <c r="F422" i="4"/>
  <c r="F421" i="4"/>
  <c r="F420" i="4"/>
  <c r="F419" i="4"/>
  <c r="F418" i="4"/>
  <c r="F417" i="4"/>
  <c r="F416" i="4"/>
  <c r="F415" i="4"/>
  <c r="F414" i="4"/>
  <c r="F413" i="4"/>
  <c r="F412" i="4"/>
  <c r="F411" i="4"/>
  <c r="F410" i="4"/>
  <c r="F409" i="4"/>
  <c r="F408" i="4"/>
  <c r="F407" i="4"/>
  <c r="F406" i="4"/>
  <c r="F405" i="4"/>
  <c r="F404" i="4"/>
  <c r="F403" i="4"/>
  <c r="F402" i="4"/>
  <c r="F401" i="4"/>
  <c r="F400" i="4"/>
  <c r="F399" i="4"/>
  <c r="F398" i="4"/>
  <c r="F397" i="4"/>
  <c r="F396" i="4"/>
  <c r="F395" i="4"/>
  <c r="F394" i="4"/>
  <c r="F393" i="4"/>
  <c r="F392" i="4"/>
  <c r="F391" i="4"/>
  <c r="F390" i="4"/>
  <c r="F389" i="4"/>
  <c r="F388" i="4"/>
  <c r="F387" i="4"/>
  <c r="F386" i="4"/>
  <c r="F385" i="4"/>
  <c r="F384" i="4"/>
  <c r="F383" i="4"/>
  <c r="F382" i="4"/>
  <c r="F381" i="4"/>
  <c r="F380" i="4"/>
  <c r="F379" i="4"/>
  <c r="F378" i="4"/>
  <c r="F377" i="4"/>
  <c r="F376" i="4"/>
  <c r="F375" i="4"/>
  <c r="F374" i="4"/>
  <c r="F373" i="4"/>
  <c r="F372" i="4"/>
  <c r="F371" i="4"/>
  <c r="F370" i="4"/>
  <c r="F369" i="4"/>
  <c r="F368" i="4"/>
  <c r="F367" i="4"/>
  <c r="F366" i="4"/>
  <c r="F365" i="4"/>
  <c r="F364" i="4"/>
  <c r="F363" i="4"/>
  <c r="F362" i="4"/>
  <c r="F361" i="4"/>
  <c r="F360" i="4"/>
  <c r="F359" i="4"/>
  <c r="F358" i="4"/>
  <c r="F357" i="4"/>
  <c r="F356" i="4"/>
  <c r="F355" i="4"/>
  <c r="F354" i="4"/>
  <c r="F353" i="4"/>
  <c r="F352" i="4"/>
  <c r="F351" i="4"/>
  <c r="F350" i="4"/>
  <c r="F349" i="4"/>
  <c r="F348" i="4"/>
  <c r="F347" i="4"/>
  <c r="F346" i="4"/>
  <c r="F345" i="4"/>
  <c r="F344" i="4"/>
  <c r="F343" i="4"/>
  <c r="F342" i="4"/>
  <c r="F341" i="4"/>
  <c r="F340" i="4"/>
  <c r="F339" i="4"/>
  <c r="F338" i="4"/>
  <c r="F337" i="4"/>
  <c r="F336" i="4"/>
  <c r="F335" i="4"/>
  <c r="F334" i="4"/>
  <c r="F333" i="4"/>
  <c r="F332" i="4"/>
  <c r="F331" i="4"/>
  <c r="F330" i="4"/>
  <c r="F329" i="4"/>
  <c r="F328" i="4"/>
  <c r="F327" i="4"/>
  <c r="F326" i="4"/>
  <c r="F325" i="4"/>
  <c r="F324" i="4"/>
  <c r="F323" i="4"/>
  <c r="F322" i="4"/>
  <c r="F321" i="4"/>
  <c r="F320" i="4"/>
  <c r="F319" i="4"/>
  <c r="F318" i="4"/>
  <c r="F317" i="4"/>
  <c r="F316" i="4"/>
  <c r="F315" i="4"/>
  <c r="F314" i="4"/>
  <c r="F313" i="4"/>
  <c r="F312" i="4"/>
  <c r="F311" i="4"/>
  <c r="F310" i="4"/>
  <c r="F309" i="4"/>
  <c r="F308" i="4"/>
  <c r="F307" i="4"/>
  <c r="F306" i="4"/>
  <c r="F305" i="4"/>
  <c r="F304" i="4"/>
  <c r="F303" i="4"/>
  <c r="F302" i="4"/>
  <c r="F301" i="4"/>
  <c r="F300" i="4"/>
  <c r="F299" i="4"/>
  <c r="F298" i="4"/>
  <c r="F297" i="4"/>
  <c r="F296" i="4"/>
  <c r="F295" i="4"/>
  <c r="F294" i="4"/>
  <c r="F293" i="4"/>
  <c r="F292" i="4"/>
  <c r="F291" i="4"/>
  <c r="F290" i="4"/>
  <c r="F289" i="4"/>
  <c r="F288" i="4"/>
  <c r="F287" i="4"/>
  <c r="F286" i="4"/>
  <c r="F285" i="4"/>
  <c r="F284" i="4"/>
  <c r="F283" i="4"/>
  <c r="F282" i="4"/>
  <c r="F281" i="4"/>
  <c r="F280" i="4"/>
  <c r="F279" i="4"/>
  <c r="F278" i="4"/>
  <c r="F277" i="4"/>
  <c r="F276" i="4"/>
  <c r="F275" i="4"/>
  <c r="F274" i="4"/>
  <c r="F273" i="4"/>
  <c r="F272" i="4"/>
  <c r="F271" i="4"/>
  <c r="F270" i="4"/>
  <c r="F269" i="4"/>
  <c r="F268" i="4"/>
  <c r="F267" i="4"/>
  <c r="F266" i="4"/>
  <c r="F265" i="4"/>
  <c r="F264" i="4"/>
  <c r="F263" i="4"/>
  <c r="F262" i="4"/>
  <c r="F261" i="4"/>
  <c r="F260" i="4"/>
  <c r="F259" i="4"/>
  <c r="F258" i="4"/>
  <c r="F257" i="4"/>
  <c r="F256" i="4"/>
  <c r="F255" i="4"/>
  <c r="F254" i="4"/>
  <c r="F253" i="4"/>
  <c r="F252" i="4"/>
  <c r="F251" i="4"/>
  <c r="F250" i="4"/>
  <c r="F249" i="4"/>
  <c r="F248" i="4"/>
  <c r="F247" i="4"/>
  <c r="F246" i="4"/>
  <c r="F245" i="4"/>
  <c r="F244" i="4"/>
  <c r="F243" i="4"/>
  <c r="F242" i="4"/>
  <c r="F241" i="4"/>
  <c r="F240" i="4"/>
  <c r="F239" i="4"/>
  <c r="F238" i="4"/>
  <c r="F237" i="4"/>
  <c r="F236" i="4"/>
  <c r="F235" i="4"/>
  <c r="F234" i="4"/>
  <c r="F233" i="4"/>
  <c r="F232" i="4"/>
  <c r="F231" i="4"/>
  <c r="F230" i="4"/>
  <c r="F229" i="4"/>
  <c r="F228" i="4"/>
  <c r="F227" i="4"/>
  <c r="F226" i="4"/>
  <c r="F225" i="4"/>
  <c r="F224" i="4"/>
  <c r="F223" i="4"/>
  <c r="F222" i="4"/>
  <c r="F221" i="4"/>
  <c r="F220" i="4"/>
  <c r="F219" i="4"/>
  <c r="F218" i="4"/>
  <c r="F217" i="4"/>
  <c r="F216" i="4"/>
  <c r="F215" i="4"/>
  <c r="F214" i="4"/>
  <c r="F213" i="4"/>
  <c r="F212" i="4"/>
  <c r="F211" i="4"/>
  <c r="F210" i="4"/>
  <c r="F209" i="4"/>
  <c r="F208" i="4"/>
  <c r="F207" i="4"/>
  <c r="F206" i="4"/>
  <c r="F205" i="4"/>
  <c r="F204" i="4"/>
  <c r="F203" i="4"/>
  <c r="F202" i="4"/>
  <c r="F201" i="4"/>
  <c r="F200" i="4"/>
  <c r="F199" i="4"/>
  <c r="F198" i="4"/>
  <c r="F197" i="4"/>
  <c r="F196" i="4"/>
  <c r="F195" i="4"/>
  <c r="F194" i="4"/>
  <c r="F193" i="4"/>
  <c r="F192" i="4"/>
  <c r="F191" i="4"/>
  <c r="F190" i="4"/>
  <c r="F189" i="4"/>
  <c r="F188" i="4"/>
  <c r="F187" i="4"/>
  <c r="F186" i="4"/>
  <c r="F185" i="4"/>
  <c r="F184" i="4"/>
  <c r="F183" i="4"/>
  <c r="F182" i="4"/>
  <c r="F181" i="4"/>
  <c r="F180" i="4"/>
  <c r="F179" i="4"/>
  <c r="F178" i="4"/>
  <c r="F177" i="4"/>
  <c r="F176" i="4"/>
  <c r="F175" i="4"/>
  <c r="F174" i="4"/>
  <c r="F173" i="4"/>
  <c r="F172" i="4"/>
  <c r="F171" i="4"/>
  <c r="F170" i="4"/>
  <c r="F169" i="4"/>
  <c r="F168" i="4"/>
  <c r="F167" i="4"/>
  <c r="F166" i="4"/>
  <c r="F165" i="4"/>
  <c r="F164" i="4"/>
  <c r="F163" i="4"/>
  <c r="F162" i="4"/>
  <c r="F161" i="4"/>
  <c r="F160" i="4"/>
  <c r="F159" i="4"/>
  <c r="F158" i="4"/>
  <c r="F157" i="4"/>
  <c r="F156" i="4"/>
  <c r="F155" i="4"/>
  <c r="F154" i="4"/>
  <c r="F153" i="4"/>
  <c r="F152" i="4"/>
  <c r="F151" i="4"/>
  <c r="F150" i="4"/>
  <c r="F149" i="4"/>
  <c r="F148" i="4"/>
  <c r="F147" i="4"/>
  <c r="F146" i="4"/>
  <c r="F145" i="4"/>
  <c r="F144" i="4"/>
  <c r="F143" i="4"/>
  <c r="F142" i="4"/>
  <c r="F140" i="4"/>
  <c r="F139" i="4"/>
  <c r="F138" i="4"/>
  <c r="F137" i="4"/>
  <c r="F136" i="4"/>
  <c r="F135" i="4"/>
  <c r="F134" i="4"/>
  <c r="F133" i="4"/>
  <c r="F132" i="4"/>
  <c r="F131" i="4"/>
  <c r="F130" i="4"/>
  <c r="F129" i="4"/>
  <c r="F128" i="4"/>
  <c r="F127" i="4"/>
  <c r="F126" i="4"/>
  <c r="F125" i="4"/>
  <c r="F124" i="4"/>
  <c r="F123" i="4"/>
  <c r="F122" i="4"/>
  <c r="F121" i="4"/>
  <c r="F120" i="4"/>
  <c r="F119" i="4"/>
  <c r="F118" i="4"/>
  <c r="F117" i="4"/>
  <c r="F116" i="4"/>
  <c r="F115" i="4"/>
  <c r="F114" i="4"/>
  <c r="F113" i="4"/>
  <c r="F112" i="4"/>
  <c r="F111" i="4"/>
  <c r="F110" i="4"/>
  <c r="F109" i="4"/>
  <c r="F108" i="4"/>
  <c r="F107" i="4"/>
  <c r="F106" i="4"/>
  <c r="F105" i="4"/>
  <c r="F104" i="4"/>
  <c r="F103" i="4"/>
  <c r="F102" i="4"/>
  <c r="F101" i="4"/>
  <c r="F100" i="4"/>
  <c r="F99" i="4"/>
  <c r="F98" i="4"/>
  <c r="F97" i="4"/>
  <c r="F96" i="4"/>
  <c r="F95" i="4"/>
  <c r="F94" i="4"/>
  <c r="F93" i="4"/>
  <c r="F92" i="4"/>
  <c r="F91" i="4"/>
  <c r="F90" i="4"/>
  <c r="F89" i="4"/>
  <c r="F88" i="4"/>
  <c r="F87" i="4"/>
  <c r="F86" i="4"/>
  <c r="F85" i="4"/>
  <c r="F84" i="4"/>
  <c r="F83" i="4"/>
  <c r="F82" i="4"/>
  <c r="F81" i="4"/>
  <c r="F80" i="4"/>
  <c r="F79" i="4"/>
  <c r="F78" i="4"/>
  <c r="F77" i="4"/>
  <c r="F76" i="4"/>
  <c r="F75" i="4"/>
  <c r="F74" i="4"/>
  <c r="F73" i="4"/>
  <c r="F72" i="4"/>
  <c r="F71" i="4"/>
  <c r="F70" i="4"/>
  <c r="F69" i="4"/>
  <c r="F68" i="4"/>
  <c r="F67" i="4"/>
  <c r="D67" i="4"/>
  <c r="F66" i="4"/>
  <c r="F65" i="4"/>
  <c r="F64" i="4"/>
  <c r="F63" i="4"/>
  <c r="F62" i="4"/>
  <c r="F61" i="4"/>
  <c r="F60" i="4"/>
  <c r="F59" i="4"/>
  <c r="F58" i="4"/>
  <c r="F57" i="4"/>
  <c r="F56" i="4"/>
  <c r="F55" i="4"/>
  <c r="F54" i="4"/>
  <c r="F53" i="4"/>
  <c r="F52" i="4"/>
  <c r="F51" i="4"/>
  <c r="F50" i="4"/>
  <c r="F49" i="4"/>
  <c r="F48" i="4"/>
  <c r="F47" i="4"/>
  <c r="F46" i="4"/>
  <c r="F45" i="4"/>
  <c r="F44" i="4"/>
  <c r="F43" i="4"/>
  <c r="F42" i="4"/>
  <c r="F41" i="4"/>
  <c r="F40" i="4"/>
  <c r="F39" i="4"/>
  <c r="F38" i="4"/>
  <c r="F37" i="4"/>
  <c r="F36" i="4"/>
  <c r="F35" i="4"/>
  <c r="F34" i="4"/>
  <c r="F33" i="4"/>
  <c r="F32" i="4"/>
  <c r="F31" i="4"/>
  <c r="F30" i="4"/>
  <c r="F29" i="4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F5" i="4"/>
  <c r="F4" i="4"/>
  <c r="F3" i="4"/>
  <c r="F2" i="4"/>
  <c r="F1434" i="4" s="1"/>
  <c r="F1437" i="4" s="1"/>
  <c r="G60" i="3"/>
  <c r="G59" i="3"/>
  <c r="E59" i="3"/>
  <c r="E58" i="3"/>
  <c r="G58" i="3" s="1"/>
  <c r="E57" i="3"/>
  <c r="G57" i="3" s="1"/>
  <c r="G56" i="3"/>
  <c r="E56" i="3"/>
  <c r="E55" i="3"/>
  <c r="G55" i="3" s="1"/>
  <c r="G54" i="3"/>
  <c r="G53" i="3"/>
  <c r="Q52" i="3"/>
  <c r="G52" i="3"/>
  <c r="Q51" i="3"/>
  <c r="G51" i="3"/>
  <c r="Q50" i="3"/>
  <c r="G50" i="3"/>
  <c r="Q49" i="3"/>
  <c r="G48" i="3"/>
  <c r="G47" i="3"/>
  <c r="Q46" i="3"/>
  <c r="G46" i="3"/>
  <c r="Q44" i="3"/>
  <c r="G44" i="3"/>
  <c r="Q43" i="3"/>
  <c r="G43" i="3"/>
  <c r="Q42" i="3"/>
  <c r="G42" i="3"/>
  <c r="Q41" i="3"/>
  <c r="G41" i="3"/>
  <c r="Q40" i="3"/>
  <c r="G40" i="3"/>
  <c r="Q39" i="3"/>
  <c r="G39" i="3"/>
  <c r="Q38" i="3"/>
  <c r="G38" i="3"/>
  <c r="Q37" i="3"/>
  <c r="G37" i="3"/>
  <c r="E37" i="3"/>
  <c r="G36" i="3"/>
  <c r="Q35" i="3"/>
  <c r="E35" i="3"/>
  <c r="G35" i="3" s="1"/>
  <c r="G34" i="3"/>
  <c r="E34" i="3"/>
  <c r="G33" i="3"/>
  <c r="E33" i="3"/>
  <c r="Q32" i="3"/>
  <c r="G32" i="3"/>
  <c r="E32" i="3"/>
  <c r="Q31" i="3"/>
  <c r="G31" i="3"/>
  <c r="Q30" i="3"/>
  <c r="G30" i="3"/>
  <c r="Q29" i="3"/>
  <c r="G29" i="3"/>
  <c r="Q28" i="3"/>
  <c r="O27" i="3"/>
  <c r="Q27" i="3" s="1"/>
  <c r="G27" i="3"/>
  <c r="E27" i="3"/>
  <c r="Q26" i="3"/>
  <c r="E26" i="3"/>
  <c r="G26" i="3" s="1"/>
  <c r="Q25" i="3"/>
  <c r="E25" i="3"/>
  <c r="G25" i="3" s="1"/>
  <c r="Q24" i="3"/>
  <c r="G24" i="3"/>
  <c r="E24" i="3"/>
  <c r="Q23" i="3"/>
  <c r="E23" i="3"/>
  <c r="G23" i="3" s="1"/>
  <c r="Q22" i="3"/>
  <c r="G22" i="3"/>
  <c r="Q21" i="3"/>
  <c r="G21" i="3"/>
  <c r="E21" i="3"/>
  <c r="E20" i="3"/>
  <c r="G20" i="3" s="1"/>
  <c r="G19" i="3"/>
  <c r="E19" i="3"/>
  <c r="Q18" i="3"/>
  <c r="E18" i="3"/>
  <c r="G18" i="3" s="1"/>
  <c r="Q17" i="3"/>
  <c r="E17" i="3"/>
  <c r="G17" i="3" s="1"/>
  <c r="Q16" i="3"/>
  <c r="G16" i="3"/>
  <c r="Q15" i="3"/>
  <c r="G15" i="3"/>
  <c r="Q14" i="3"/>
  <c r="G14" i="3"/>
  <c r="E14" i="3"/>
  <c r="I253" i="2"/>
  <c r="I252" i="2"/>
  <c r="I251" i="2"/>
  <c r="I250" i="2"/>
  <c r="I249" i="2"/>
  <c r="I248" i="2"/>
  <c r="I247" i="2"/>
  <c r="I246" i="2"/>
  <c r="I245" i="2"/>
  <c r="I244" i="2"/>
  <c r="I243" i="2"/>
  <c r="I242" i="2"/>
  <c r="I241" i="2"/>
  <c r="I240" i="2"/>
  <c r="I239" i="2"/>
  <c r="I238" i="2"/>
  <c r="I237" i="2"/>
  <c r="I236" i="2"/>
  <c r="I235" i="2"/>
  <c r="I234" i="2"/>
  <c r="I233" i="2"/>
  <c r="I232" i="2"/>
  <c r="I231" i="2"/>
  <c r="I230" i="2"/>
  <c r="I229" i="2"/>
  <c r="G229" i="2"/>
  <c r="G228" i="2"/>
  <c r="I228" i="2" s="1"/>
  <c r="G227" i="2"/>
  <c r="I227" i="2" s="1"/>
  <c r="G226" i="2"/>
  <c r="I226" i="2" s="1"/>
  <c r="G225" i="2"/>
  <c r="I225" i="2" s="1"/>
  <c r="G224" i="2"/>
  <c r="I224" i="2" s="1"/>
  <c r="G223" i="2"/>
  <c r="I223" i="2" s="1"/>
  <c r="G222" i="2"/>
  <c r="I222" i="2" s="1"/>
  <c r="G221" i="2"/>
  <c r="I221" i="2" s="1"/>
  <c r="G220" i="2"/>
  <c r="I220" i="2" s="1"/>
  <c r="G219" i="2"/>
  <c r="I219" i="2" s="1"/>
  <c r="G218" i="2"/>
  <c r="I218" i="2" s="1"/>
  <c r="G217" i="2"/>
  <c r="I217" i="2" s="1"/>
  <c r="G216" i="2"/>
  <c r="I216" i="2" s="1"/>
  <c r="G215" i="2"/>
  <c r="I215" i="2" s="1"/>
  <c r="G214" i="2"/>
  <c r="I214" i="2" s="1"/>
  <c r="I213" i="2"/>
  <c r="G213" i="2"/>
  <c r="G212" i="2"/>
  <c r="I212" i="2" s="1"/>
  <c r="G211" i="2"/>
  <c r="I211" i="2" s="1"/>
  <c r="G210" i="2"/>
  <c r="I210" i="2" s="1"/>
  <c r="G209" i="2"/>
  <c r="I209" i="2" s="1"/>
  <c r="G208" i="2"/>
  <c r="I208" i="2" s="1"/>
  <c r="G207" i="2"/>
  <c r="I207" i="2" s="1"/>
  <c r="I206" i="2"/>
  <c r="G206" i="2"/>
  <c r="G205" i="2"/>
  <c r="I205" i="2" s="1"/>
  <c r="I204" i="2"/>
  <c r="G203" i="2"/>
  <c r="I203" i="2" s="1"/>
  <c r="G202" i="2"/>
  <c r="I202" i="2" s="1"/>
  <c r="G201" i="2"/>
  <c r="I201" i="2" s="1"/>
  <c r="G200" i="2"/>
  <c r="I200" i="2" s="1"/>
  <c r="G199" i="2"/>
  <c r="I199" i="2" s="1"/>
  <c r="G198" i="2"/>
  <c r="I198" i="2" s="1"/>
  <c r="G197" i="2"/>
  <c r="I197" i="2" s="1"/>
  <c r="G196" i="2"/>
  <c r="I196" i="2" s="1"/>
  <c r="G195" i="2"/>
  <c r="I195" i="2" s="1"/>
  <c r="G194" i="2"/>
  <c r="I194" i="2" s="1"/>
  <c r="G193" i="2"/>
  <c r="I193" i="2" s="1"/>
  <c r="G192" i="2"/>
  <c r="I192" i="2" s="1"/>
  <c r="G191" i="2"/>
  <c r="I191" i="2" s="1"/>
  <c r="G190" i="2"/>
  <c r="I190" i="2" s="1"/>
  <c r="G189" i="2"/>
  <c r="I189" i="2" s="1"/>
  <c r="G188" i="2"/>
  <c r="I188" i="2" s="1"/>
  <c r="I187" i="2"/>
  <c r="G186" i="2"/>
  <c r="I186" i="2" s="1"/>
  <c r="G185" i="2"/>
  <c r="I185" i="2" s="1"/>
  <c r="G184" i="2"/>
  <c r="I184" i="2" s="1"/>
  <c r="I183" i="2"/>
  <c r="G183" i="2"/>
  <c r="G182" i="2"/>
  <c r="I182" i="2" s="1"/>
  <c r="G181" i="2"/>
  <c r="I181" i="2" s="1"/>
  <c r="G180" i="2"/>
  <c r="I180" i="2" s="1"/>
  <c r="G179" i="2"/>
  <c r="I179" i="2" s="1"/>
  <c r="G178" i="2"/>
  <c r="I178" i="2" s="1"/>
  <c r="I177" i="2"/>
  <c r="G177" i="2"/>
  <c r="I176" i="2"/>
  <c r="G176" i="2"/>
  <c r="G175" i="2"/>
  <c r="I175" i="2" s="1"/>
  <c r="G174" i="2"/>
  <c r="I174" i="2" s="1"/>
  <c r="I173" i="2"/>
  <c r="G173" i="2"/>
  <c r="G172" i="2"/>
  <c r="I172" i="2" s="1"/>
  <c r="G171" i="2"/>
  <c r="I171" i="2" s="1"/>
  <c r="G170" i="2"/>
  <c r="I170" i="2" s="1"/>
  <c r="G169" i="2"/>
  <c r="I169" i="2" s="1"/>
  <c r="I168" i="2"/>
  <c r="G168" i="2"/>
  <c r="G167" i="2"/>
  <c r="I167" i="2" s="1"/>
  <c r="G166" i="2"/>
  <c r="I166" i="2" s="1"/>
  <c r="G165" i="2"/>
  <c r="I165" i="2" s="1"/>
  <c r="I164" i="2"/>
  <c r="G164" i="2"/>
  <c r="G163" i="2"/>
  <c r="I163" i="2" s="1"/>
  <c r="G162" i="2"/>
  <c r="I162" i="2" s="1"/>
  <c r="G161" i="2"/>
  <c r="I161" i="2" s="1"/>
  <c r="G160" i="2"/>
  <c r="I160" i="2" s="1"/>
  <c r="I159" i="2"/>
  <c r="G159" i="2"/>
  <c r="G158" i="2"/>
  <c r="I158" i="2" s="1"/>
  <c r="G157" i="2"/>
  <c r="I157" i="2" s="1"/>
  <c r="G156" i="2"/>
  <c r="I156" i="2" s="1"/>
  <c r="I155" i="2"/>
  <c r="G155" i="2"/>
  <c r="G154" i="2"/>
  <c r="I154" i="2" s="1"/>
  <c r="G153" i="2"/>
  <c r="I153" i="2" s="1"/>
  <c r="I152" i="2"/>
  <c r="G152" i="2"/>
  <c r="G151" i="2"/>
  <c r="I151" i="2" s="1"/>
  <c r="G150" i="2"/>
  <c r="I150" i="2" s="1"/>
  <c r="G149" i="2"/>
  <c r="I149" i="2" s="1"/>
  <c r="G148" i="2"/>
  <c r="I148" i="2" s="1"/>
  <c r="G147" i="2"/>
  <c r="I147" i="2" s="1"/>
  <c r="G146" i="2"/>
  <c r="I146" i="2" s="1"/>
  <c r="G145" i="2"/>
  <c r="I145" i="2" s="1"/>
  <c r="G144" i="2"/>
  <c r="I144" i="2" s="1"/>
  <c r="G143" i="2"/>
  <c r="I143" i="2" s="1"/>
  <c r="G142" i="2"/>
  <c r="I142" i="2" s="1"/>
  <c r="G141" i="2"/>
  <c r="I141" i="2" s="1"/>
  <c r="I140" i="2"/>
  <c r="G140" i="2"/>
  <c r="G139" i="2"/>
  <c r="I139" i="2" s="1"/>
  <c r="G138" i="2"/>
  <c r="I138" i="2" s="1"/>
  <c r="I137" i="2"/>
  <c r="G137" i="2"/>
  <c r="G136" i="2"/>
  <c r="I136" i="2" s="1"/>
  <c r="G135" i="2"/>
  <c r="I135" i="2" s="1"/>
  <c r="G134" i="2"/>
  <c r="I134" i="2" s="1"/>
  <c r="G133" i="2"/>
  <c r="I133" i="2" s="1"/>
  <c r="I132" i="2"/>
  <c r="G132" i="2"/>
  <c r="G131" i="2"/>
  <c r="I131" i="2" s="1"/>
  <c r="I130" i="2"/>
  <c r="G130" i="2"/>
  <c r="G129" i="2"/>
  <c r="I129" i="2" s="1"/>
  <c r="I128" i="2"/>
  <c r="G128" i="2"/>
  <c r="G127" i="2"/>
  <c r="I127" i="2" s="1"/>
  <c r="G126" i="2"/>
  <c r="I126" i="2" s="1"/>
  <c r="G125" i="2"/>
  <c r="I125" i="2" s="1"/>
  <c r="G124" i="2"/>
  <c r="I124" i="2" s="1"/>
  <c r="G123" i="2"/>
  <c r="I123" i="2" s="1"/>
  <c r="G122" i="2"/>
  <c r="I122" i="2" s="1"/>
  <c r="G121" i="2"/>
  <c r="I121" i="2" s="1"/>
  <c r="G120" i="2"/>
  <c r="I120" i="2" s="1"/>
  <c r="G119" i="2"/>
  <c r="I119" i="2" s="1"/>
  <c r="G118" i="2"/>
  <c r="I118" i="2" s="1"/>
  <c r="I117" i="2"/>
  <c r="G116" i="2"/>
  <c r="I116" i="2" s="1"/>
  <c r="G115" i="2"/>
  <c r="I115" i="2" s="1"/>
  <c r="G114" i="2"/>
  <c r="I114" i="2" s="1"/>
  <c r="G113" i="2"/>
  <c r="I113" i="2" s="1"/>
  <c r="G112" i="2"/>
  <c r="I112" i="2" s="1"/>
  <c r="G111" i="2"/>
  <c r="I111" i="2" s="1"/>
  <c r="G110" i="2"/>
  <c r="I110" i="2" s="1"/>
  <c r="G109" i="2"/>
  <c r="I109" i="2" s="1"/>
  <c r="G108" i="2"/>
  <c r="I108" i="2" s="1"/>
  <c r="G107" i="2"/>
  <c r="I107" i="2" s="1"/>
  <c r="G106" i="2"/>
  <c r="I106" i="2" s="1"/>
  <c r="G105" i="2"/>
  <c r="I105" i="2" s="1"/>
  <c r="G104" i="2"/>
  <c r="I104" i="2" s="1"/>
  <c r="G103" i="2"/>
  <c r="I103" i="2" s="1"/>
  <c r="G102" i="2"/>
  <c r="I102" i="2" s="1"/>
  <c r="G101" i="2"/>
  <c r="I101" i="2" s="1"/>
  <c r="G100" i="2"/>
  <c r="I100" i="2" s="1"/>
  <c r="G99" i="2"/>
  <c r="I99" i="2" s="1"/>
  <c r="G98" i="2"/>
  <c r="I98" i="2" s="1"/>
  <c r="G97" i="2"/>
  <c r="I97" i="2" s="1"/>
  <c r="G96" i="2"/>
  <c r="I96" i="2" s="1"/>
  <c r="G95" i="2"/>
  <c r="I95" i="2" s="1"/>
  <c r="G94" i="2"/>
  <c r="I94" i="2" s="1"/>
  <c r="G93" i="2"/>
  <c r="I93" i="2" s="1"/>
  <c r="G92" i="2"/>
  <c r="I92" i="2" s="1"/>
  <c r="I91" i="2"/>
  <c r="G90" i="2"/>
  <c r="I90" i="2" s="1"/>
  <c r="G89" i="2"/>
  <c r="I89" i="2" s="1"/>
  <c r="G88" i="2"/>
  <c r="I88" i="2" s="1"/>
  <c r="G87" i="2"/>
  <c r="I87" i="2" s="1"/>
  <c r="G86" i="2"/>
  <c r="I86" i="2" s="1"/>
  <c r="I85" i="2"/>
  <c r="G85" i="2"/>
  <c r="G84" i="2"/>
  <c r="I84" i="2" s="1"/>
  <c r="G83" i="2"/>
  <c r="I83" i="2" s="1"/>
  <c r="I82" i="2"/>
  <c r="G82" i="2"/>
  <c r="G81" i="2"/>
  <c r="I81" i="2" s="1"/>
  <c r="I80" i="2"/>
  <c r="G80" i="2"/>
  <c r="G79" i="2"/>
  <c r="I79" i="2" s="1"/>
  <c r="G78" i="2"/>
  <c r="I78" i="2" s="1"/>
  <c r="G77" i="2"/>
  <c r="I77" i="2" s="1"/>
  <c r="I76" i="2"/>
  <c r="G76" i="2"/>
  <c r="G75" i="2"/>
  <c r="I75" i="2" s="1"/>
  <c r="G74" i="2"/>
  <c r="I74" i="2" s="1"/>
  <c r="I73" i="2"/>
  <c r="G73" i="2"/>
  <c r="G72" i="2"/>
  <c r="I72" i="2" s="1"/>
  <c r="G71" i="2"/>
  <c r="I71" i="2" s="1"/>
  <c r="G70" i="2"/>
  <c r="I70" i="2" s="1"/>
  <c r="G69" i="2"/>
  <c r="I69" i="2" s="1"/>
  <c r="G68" i="2"/>
  <c r="I68" i="2" s="1"/>
  <c r="G67" i="2"/>
  <c r="I67" i="2" s="1"/>
  <c r="I66" i="2"/>
  <c r="G66" i="2"/>
  <c r="G65" i="2"/>
  <c r="I65" i="2" s="1"/>
  <c r="I64" i="2"/>
  <c r="G64" i="2"/>
  <c r="G63" i="2"/>
  <c r="I63" i="2" s="1"/>
  <c r="I62" i="2"/>
  <c r="G62" i="2"/>
  <c r="G61" i="2"/>
  <c r="I61" i="2" s="1"/>
  <c r="G60" i="2"/>
  <c r="I60" i="2" s="1"/>
  <c r="G59" i="2"/>
  <c r="I59" i="2" s="1"/>
  <c r="G58" i="2"/>
  <c r="I58" i="2" s="1"/>
  <c r="G57" i="2"/>
  <c r="I57" i="2" s="1"/>
  <c r="G56" i="2"/>
  <c r="I56" i="2" s="1"/>
  <c r="G55" i="2"/>
  <c r="I55" i="2" s="1"/>
  <c r="G54" i="2"/>
  <c r="I54" i="2" s="1"/>
  <c r="I53" i="2"/>
  <c r="G52" i="2"/>
  <c r="I52" i="2" s="1"/>
  <c r="G51" i="2"/>
  <c r="I51" i="2" s="1"/>
  <c r="G50" i="2"/>
  <c r="I50" i="2" s="1"/>
  <c r="G49" i="2"/>
  <c r="I49" i="2" s="1"/>
  <c r="G48" i="2"/>
  <c r="I48" i="2" s="1"/>
  <c r="G47" i="2"/>
  <c r="I47" i="2" s="1"/>
  <c r="G46" i="2"/>
  <c r="I46" i="2" s="1"/>
  <c r="G45" i="2"/>
  <c r="I45" i="2" s="1"/>
  <c r="G44" i="2"/>
  <c r="I44" i="2" s="1"/>
  <c r="G43" i="2"/>
  <c r="I43" i="2" s="1"/>
  <c r="G42" i="2"/>
  <c r="I42" i="2" s="1"/>
  <c r="G41" i="2"/>
  <c r="I41" i="2" s="1"/>
  <c r="G40" i="2"/>
  <c r="I40" i="2" s="1"/>
  <c r="G39" i="2"/>
  <c r="I39" i="2" s="1"/>
  <c r="G38" i="2"/>
  <c r="I38" i="2" s="1"/>
  <c r="G37" i="2"/>
  <c r="I37" i="2" s="1"/>
  <c r="G36" i="2"/>
  <c r="I36" i="2" s="1"/>
  <c r="G35" i="2"/>
  <c r="I35" i="2" s="1"/>
  <c r="G34" i="2"/>
  <c r="I34" i="2" s="1"/>
  <c r="G33" i="2"/>
  <c r="I33" i="2" s="1"/>
  <c r="G32" i="2"/>
  <c r="I32" i="2" s="1"/>
  <c r="G31" i="2"/>
  <c r="I31" i="2" s="1"/>
  <c r="G30" i="2"/>
  <c r="I30" i="2" s="1"/>
  <c r="G29" i="2"/>
  <c r="I29" i="2" s="1"/>
  <c r="G28" i="2"/>
  <c r="I28" i="2" s="1"/>
  <c r="G27" i="2"/>
  <c r="I27" i="2" s="1"/>
  <c r="G26" i="2"/>
  <c r="I26" i="2" s="1"/>
  <c r="G25" i="2"/>
  <c r="I25" i="2" s="1"/>
  <c r="G24" i="2"/>
  <c r="I24" i="2" s="1"/>
  <c r="G23" i="2"/>
  <c r="I23" i="2" s="1"/>
  <c r="G22" i="2"/>
  <c r="I22" i="2" s="1"/>
  <c r="G21" i="2"/>
  <c r="I21" i="2" s="1"/>
  <c r="G20" i="2"/>
  <c r="I20" i="2" s="1"/>
  <c r="G19" i="2"/>
  <c r="I19" i="2" s="1"/>
  <c r="G18" i="2"/>
  <c r="I18" i="2" s="1"/>
  <c r="G17" i="2"/>
  <c r="I17" i="2" s="1"/>
  <c r="G16" i="2"/>
  <c r="I16" i="2" s="1"/>
  <c r="G15" i="2"/>
  <c r="I15" i="2" s="1"/>
  <c r="G14" i="2"/>
  <c r="I14" i="2" s="1"/>
  <c r="G13" i="2"/>
  <c r="I13" i="2" s="1"/>
  <c r="G12" i="2"/>
  <c r="I12" i="2" s="1"/>
  <c r="G11" i="2"/>
  <c r="I11" i="2" s="1"/>
  <c r="G10" i="2"/>
  <c r="I10" i="2" s="1"/>
  <c r="I9" i="2"/>
  <c r="I8" i="2"/>
  <c r="G8" i="2"/>
  <c r="G7" i="2"/>
  <c r="I7" i="2" s="1"/>
  <c r="G6" i="2"/>
  <c r="I6" i="2" s="1"/>
  <c r="I5" i="2"/>
  <c r="G5" i="2"/>
  <c r="G4" i="2"/>
  <c r="I4" i="2" s="1"/>
  <c r="G3" i="2"/>
  <c r="I3" i="2" s="1"/>
  <c r="G2" i="2"/>
  <c r="I2" i="2" s="1"/>
  <c r="Q53" i="3" l="1"/>
  <c r="G61" i="3"/>
  <c r="Q55" i="3" s="1"/>
  <c r="I255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<sst xmlns="http://schemas.openxmlformats.org/spreadsheetml/2006/main" count="4484" uniqueCount="2306">
  <si>
    <t>samaster_CODE</t>
  </si>
  <si>
    <t>samaster_BRAND</t>
  </si>
  <si>
    <t>samaster_DESCRIPTION</t>
  </si>
  <si>
    <t>samaster_UNITS</t>
  </si>
  <si>
    <t>samaster_DiscountPrice</t>
  </si>
  <si>
    <t>TaxTotal</t>
  </si>
  <si>
    <t>total inc tax</t>
  </si>
  <si>
    <t>Bakery stock</t>
  </si>
  <si>
    <t>total</t>
  </si>
  <si>
    <t>MA15B</t>
  </si>
  <si>
    <t>AUST</t>
  </si>
  <si>
    <t>MALLOWHIP 12.5kg</t>
  </si>
  <si>
    <t>PAIL/1</t>
  </si>
  <si>
    <t>BICRFI12B</t>
  </si>
  <si>
    <t>BAKRS</t>
  </si>
  <si>
    <t>BISCUIT CRUMB FINE No.5 12Kg</t>
  </si>
  <si>
    <t>BOX/1</t>
  </si>
  <si>
    <t>WACR125M</t>
  </si>
  <si>
    <t>MELIN</t>
  </si>
  <si>
    <t>WATER CRACKERS G/F 125gm (12)</t>
  </si>
  <si>
    <t>UNIT/1</t>
  </si>
  <si>
    <t>BRCRCO10E</t>
  </si>
  <si>
    <t>EXCH</t>
  </si>
  <si>
    <t>BREADCRUMBS COARSE 10kg</t>
  </si>
  <si>
    <t>BAG/1</t>
  </si>
  <si>
    <t>BRCR5P</t>
  </si>
  <si>
    <t>KIKKO</t>
  </si>
  <si>
    <t>BREADCRUMBS PANKO 5kg</t>
  </si>
  <si>
    <t>BRIM15</t>
  </si>
  <si>
    <t>FERMI</t>
  </si>
  <si>
    <t>BREAD IMPROVER DELUXE 15kg</t>
  </si>
  <si>
    <t>CATRWH22A</t>
  </si>
  <si>
    <t>NO BR</t>
  </si>
  <si>
    <t>CAKE TRAY WHITE #22 (200)</t>
  </si>
  <si>
    <t>CHBADA</t>
  </si>
  <si>
    <t>CACAO Barry</t>
  </si>
  <si>
    <t>CHOC BATON DARK 300unit (15)</t>
  </si>
  <si>
    <t>PKT/1</t>
  </si>
  <si>
    <t>CHDA2.5C</t>
  </si>
  <si>
    <t>CALL</t>
  </si>
  <si>
    <t>CHOC DARK CALLETS 70% 2.5k (8</t>
  </si>
  <si>
    <t>CHDATU5</t>
  </si>
  <si>
    <t>CADBU</t>
  </si>
  <si>
    <t>@CHOC DARK BUTTONS TUSCANY 5kg</t>
  </si>
  <si>
    <t>CHDACA5</t>
  </si>
  <si>
    <t>NESTL</t>
  </si>
  <si>
    <t>@CHOC DARK CALYPSO 5kg</t>
  </si>
  <si>
    <t>CHSN5</t>
  </si>
  <si>
    <t>@CHOC WHITE BUTTON SNOWCAP 5kg</t>
  </si>
  <si>
    <t>CHWHBU10</t>
  </si>
  <si>
    <t>@CHOC WHITE COMP. DROP BUT 10k</t>
  </si>
  <si>
    <t>CODE11.34</t>
  </si>
  <si>
    <t>FIEST</t>
  </si>
  <si>
    <t>COCONUT DESSICATED FINE 11.34k</t>
  </si>
  <si>
    <t>COPO1C</t>
  </si>
  <si>
    <t>CTMAX</t>
  </si>
  <si>
    <t>COCOA POWDER 1kg</t>
  </si>
  <si>
    <t>COPO1CA</t>
  </si>
  <si>
    <t>COCOA POWDER 1kg (20)</t>
  </si>
  <si>
    <t>COPO25S</t>
  </si>
  <si>
    <t>JB</t>
  </si>
  <si>
    <t>COCOA POWDER NATURAL 25kg</t>
  </si>
  <si>
    <t>ESVA1S</t>
  </si>
  <si>
    <t>STEDW</t>
  </si>
  <si>
    <t>ESSENCE VANILLA IMIT 1lt</t>
  </si>
  <si>
    <t>BOTL/1</t>
  </si>
  <si>
    <t>LIRUST1</t>
  </si>
  <si>
    <t>SPIRI</t>
  </si>
  <si>
    <t>LIQUEUR RUM ST JAMES 1lt</t>
  </si>
  <si>
    <t>BTL/1</t>
  </si>
  <si>
    <t>FLCH1C</t>
  </si>
  <si>
    <t>FLOUR CHICK PEA (besan) 1kg</t>
  </si>
  <si>
    <t>PACK/1</t>
  </si>
  <si>
    <t>FM15KGP</t>
  </si>
  <si>
    <t>PINNA</t>
  </si>
  <si>
    <t>FLOUR MALT 15kg</t>
  </si>
  <si>
    <t>FLPFA12.5D</t>
  </si>
  <si>
    <t>ALLIE</t>
  </si>
  <si>
    <t>FLOUR P-FARINA X WHITE 12.5kg</t>
  </si>
  <si>
    <t>FLPL12.5M</t>
  </si>
  <si>
    <t>GEM O</t>
  </si>
  <si>
    <t>FLOUR PLAIN 12.5kg</t>
  </si>
  <si>
    <t>FLRI1</t>
  </si>
  <si>
    <t>FLOUR RICE 1kg</t>
  </si>
  <si>
    <t>FLSR12.5M</t>
  </si>
  <si>
    <t>MNDRA</t>
  </si>
  <si>
    <t>FLOUR SELF RAISING 12.5kg</t>
  </si>
  <si>
    <t>FLWH12.5A</t>
  </si>
  <si>
    <t>FLOUR WHOLEMEAL 12.5kg #26734</t>
  </si>
  <si>
    <t>SEWH25</t>
  </si>
  <si>
    <t>SEMOLINA WHITE 25kg</t>
  </si>
  <si>
    <t>FLCOGF5</t>
  </si>
  <si>
    <t>EDLYN</t>
  </si>
  <si>
    <t>@FLOUR CORN MAIZE G/FREE 5kg</t>
  </si>
  <si>
    <t>FWSP15KG</t>
  </si>
  <si>
    <t>BAKEL</t>
  </si>
  <si>
    <t>FONDANT WHITE STAND(MED)14PAIL</t>
  </si>
  <si>
    <t>APDR1</t>
  </si>
  <si>
    <t>APRICOT WHOLE PITTED 1kg</t>
  </si>
  <si>
    <t>CU1</t>
  </si>
  <si>
    <t>CURRANTS 1kg</t>
  </si>
  <si>
    <t>CU12.5</t>
  </si>
  <si>
    <t>SUNBE</t>
  </si>
  <si>
    <t>CURRANTS 4 CROWN AUST 12.5kg</t>
  </si>
  <si>
    <t>DAPI10</t>
  </si>
  <si>
    <t>FRU</t>
  </si>
  <si>
    <t>DATES PITTED 10kg</t>
  </si>
  <si>
    <t>RASE1</t>
  </si>
  <si>
    <t>RAISINS SEEDED 1kg</t>
  </si>
  <si>
    <t>SU12.5S</t>
  </si>
  <si>
    <t>SULTANAS AUST. 4CR 12.5kg</t>
  </si>
  <si>
    <t>LECU19B</t>
  </si>
  <si>
    <t>BARKF</t>
  </si>
  <si>
    <t>LEMON CURD 19kg</t>
  </si>
  <si>
    <t>TUB/1</t>
  </si>
  <si>
    <t>GESH1G</t>
  </si>
  <si>
    <t>EWALD</t>
  </si>
  <si>
    <t>GELATINE SHEETS GOLD EWALD 1kg</t>
  </si>
  <si>
    <t>GLNE13T</t>
  </si>
  <si>
    <t>TRISC</t>
  </si>
  <si>
    <t>FLAN GEL GLAZE NEUTRAL 13kg</t>
  </si>
  <si>
    <t>HO3C</t>
  </si>
  <si>
    <t>ALLOW</t>
  </si>
  <si>
    <t>HONEY PURE 3kg (3)</t>
  </si>
  <si>
    <t>CHGA12.5</t>
  </si>
  <si>
    <t>CHOCOLATE GANACHE RTU 12.5kg</t>
  </si>
  <si>
    <t>PEIC7W</t>
  </si>
  <si>
    <t>P/ICE</t>
  </si>
  <si>
    <t>ICING RTR WHITE 7kg 422003</t>
  </si>
  <si>
    <t>JAST2.5Y</t>
  </si>
  <si>
    <t>YAVA</t>
  </si>
  <si>
    <t>JAM STRAWBERRY 2.5kg (3)</t>
  </si>
  <si>
    <t>APJU2.4B</t>
  </si>
  <si>
    <t>BERRI</t>
  </si>
  <si>
    <t>@APPLE JUICE 2.4LT (6) #6145</t>
  </si>
  <si>
    <t>LEJU2E</t>
  </si>
  <si>
    <t>@LEMON JUICE 100% 2lt (6)</t>
  </si>
  <si>
    <t>LEJU1S</t>
  </si>
  <si>
    <t>@LEMON JUICE 1lt (12)</t>
  </si>
  <si>
    <t>TOJU1LT</t>
  </si>
  <si>
    <t>JUJUI</t>
  </si>
  <si>
    <t>TOMATO JUICE 1 LT (12) 2897</t>
  </si>
  <si>
    <t>BEBLTU1C</t>
  </si>
  <si>
    <t>BEANS BLACK TURTLE 1Kg</t>
  </si>
  <si>
    <t>CABE1G</t>
  </si>
  <si>
    <t>CANNELLINI BEANS 1kg (GRT NTH</t>
  </si>
  <si>
    <t>CHPE1</t>
  </si>
  <si>
    <t>CHICK PEAS 1kg</t>
  </si>
  <si>
    <t>HABE1</t>
  </si>
  <si>
    <t>HARICOT (NAVY) BEANS 1kg</t>
  </si>
  <si>
    <t>MISWCO13D</t>
  </si>
  <si>
    <t>BRA</t>
  </si>
  <si>
    <t>MILK SWEETENED CONDENSED 2x13k</t>
  </si>
  <si>
    <t>MIPO1DF</t>
  </si>
  <si>
    <t>BURRA</t>
  </si>
  <si>
    <t>MILK POWDER FULL CREAM 25KG</t>
  </si>
  <si>
    <t>BOSO1</t>
  </si>
  <si>
    <t>BONS</t>
  </si>
  <si>
    <t>BON SOY 6x1lt</t>
  </si>
  <si>
    <t>CTN/1</t>
  </si>
  <si>
    <t>DOMICE15</t>
  </si>
  <si>
    <t>CEREF</t>
  </si>
  <si>
    <t>DONUT MIX CAKE 15kg</t>
  </si>
  <si>
    <t>MP15KG</t>
  </si>
  <si>
    <t>EOI</t>
  </si>
  <si>
    <t>PIETIME 15kg</t>
  </si>
  <si>
    <t>MUMI10CRD</t>
  </si>
  <si>
    <t>@MUFFIN MIX CREME 10kg 36251</t>
  </si>
  <si>
    <t>MUDI2.5M</t>
  </si>
  <si>
    <t>MASTE</t>
  </si>
  <si>
    <t>@MUSTARD DIJON 2.5kg (6)</t>
  </si>
  <si>
    <t>JAR/1</t>
  </si>
  <si>
    <t>MUSE2M</t>
  </si>
  <si>
    <t>@MUSTARD SEEDED 2.5kg (6)</t>
  </si>
  <si>
    <t>MUDI5B</t>
  </si>
  <si>
    <t>BEAU</t>
  </si>
  <si>
    <t>MUSTARD DIJON FRENCH 5kg(2)</t>
  </si>
  <si>
    <t>MUENMI2.5M</t>
  </si>
  <si>
    <t>MUSTARD ENGLISH MILD 2.5kg(6)</t>
  </si>
  <si>
    <t>MUGR5B</t>
  </si>
  <si>
    <t>MUSTARD WHOLE GRAIN 5kg (2)</t>
  </si>
  <si>
    <t>ALFL1</t>
  </si>
  <si>
    <t>ALMOND FLAKES 1kg</t>
  </si>
  <si>
    <t>ALKE1</t>
  </si>
  <si>
    <t>ALMOND KERNELS 1kg (RAW)</t>
  </si>
  <si>
    <t>ALMEBL10</t>
  </si>
  <si>
    <t>ALMON</t>
  </si>
  <si>
    <t>ALMOND MEAL BLANCHED 10kg</t>
  </si>
  <si>
    <t>ALFLTH9</t>
  </si>
  <si>
    <t>ALMOND SLICE THIN BLANCHED 9kg</t>
  </si>
  <si>
    <t>ALWHBL1</t>
  </si>
  <si>
    <t>ALMOND WHOLE BLANCHED 1kg</t>
  </si>
  <si>
    <t>CARA1</t>
  </si>
  <si>
    <t>CASHEWS RAW 1kg</t>
  </si>
  <si>
    <t>MAWH1</t>
  </si>
  <si>
    <t>MACADAMIA WHOLE #1 1kg</t>
  </si>
  <si>
    <t>PIKE1</t>
  </si>
  <si>
    <t>PISTACHIO KERNELS no shell 1kg</t>
  </si>
  <si>
    <t>SUKE25</t>
  </si>
  <si>
    <t>SUNFLOWER KERNELS 25kg</t>
  </si>
  <si>
    <t>WAKE1S</t>
  </si>
  <si>
    <t>WALNUT KERNELS 1kg</t>
  </si>
  <si>
    <t>OARO10A</t>
  </si>
  <si>
    <t>ANCHO</t>
  </si>
  <si>
    <t>OATS ROLLED  10kg</t>
  </si>
  <si>
    <t>OLOIEX4C</t>
  </si>
  <si>
    <t>CRETE</t>
  </si>
  <si>
    <t>O/OIL EXTRA VIRGIN 4Lt (4)</t>
  </si>
  <si>
    <t>OLOIEX4S</t>
  </si>
  <si>
    <t>SANDH</t>
  </si>
  <si>
    <t>O/OIL EXTRA VIRGIN 4lt (4)</t>
  </si>
  <si>
    <t>TIN/1</t>
  </si>
  <si>
    <t>OICO20R</t>
  </si>
  <si>
    <t>ROSEM</t>
  </si>
  <si>
    <t>OIL COTTONSEED 20lt</t>
  </si>
  <si>
    <t>OIVE20G</t>
  </si>
  <si>
    <t>RIOI</t>
  </si>
  <si>
    <t>OIL VEG CANOLA 20lt</t>
  </si>
  <si>
    <t>OIVE20E</t>
  </si>
  <si>
    <t>EL TO</t>
  </si>
  <si>
    <t>OIL VEGETABLE 20lt EL TORO</t>
  </si>
  <si>
    <t>OICASP400S</t>
  </si>
  <si>
    <t>PANO</t>
  </si>
  <si>
    <t>OIL CANOLA SPRAY 400gm (12)</t>
  </si>
  <si>
    <t>OLKAPI2S</t>
  </si>
  <si>
    <t>@OLIVES KALAMATA PITTED 2kg (6</t>
  </si>
  <si>
    <t>PE500S</t>
  </si>
  <si>
    <t>SAN R</t>
  </si>
  <si>
    <t>PENNE ZITA  NO.20  500g (12)</t>
  </si>
  <si>
    <t>PAKO1S</t>
  </si>
  <si>
    <t>SHARW</t>
  </si>
  <si>
    <t>PASTE KORMA 1.25kg (4)</t>
  </si>
  <si>
    <t>PAWA43</t>
  </si>
  <si>
    <t>PASTE WASABI 43gm</t>
  </si>
  <si>
    <t>TA2</t>
  </si>
  <si>
    <t>HEFM</t>
  </si>
  <si>
    <t>TAHINI 2kg (6)</t>
  </si>
  <si>
    <t>PEWH1</t>
  </si>
  <si>
    <t>PEPPER WHITE GROUND 1kg</t>
  </si>
  <si>
    <t>PECOBL1</t>
  </si>
  <si>
    <t>PEPPERCORN BLACK WHOLE 1kg</t>
  </si>
  <si>
    <t>PECOWH1</t>
  </si>
  <si>
    <t>PEPPERCORN WHITE WHOLE 1kg</t>
  </si>
  <si>
    <t>CHMA2S</t>
  </si>
  <si>
    <t>CHUTNEY MANGO 2.6kg (2)</t>
  </si>
  <si>
    <t>RIAR1</t>
  </si>
  <si>
    <t>RICE ARBORIO 1kg</t>
  </si>
  <si>
    <t>SACO10S</t>
  </si>
  <si>
    <t>SAXA</t>
  </si>
  <si>
    <t>SALT COOKING  10kg</t>
  </si>
  <si>
    <t>SAFL25P</t>
  </si>
  <si>
    <t>OLS</t>
  </si>
  <si>
    <t>SALT COOKING IODISED 20kg</t>
  </si>
  <si>
    <t>SATA10S</t>
  </si>
  <si>
    <t>SALT TABLE 10kg</t>
  </si>
  <si>
    <t>SAWA25P</t>
  </si>
  <si>
    <t>OLSSO</t>
  </si>
  <si>
    <t>SALT WATER SOFTENER (ROCK)25kg</t>
  </si>
  <si>
    <t>SAUPA3B</t>
  </si>
  <si>
    <t>BUITO</t>
  </si>
  <si>
    <t>@SAUCE PASTA 3kg (6)</t>
  </si>
  <si>
    <t>SAUTO4H</t>
  </si>
  <si>
    <t>HEINZ</t>
  </si>
  <si>
    <t>@SAUCE TOMATO 4lt (3)</t>
  </si>
  <si>
    <t>SAUKE625A</t>
  </si>
  <si>
    <t>ABC</t>
  </si>
  <si>
    <t>SAUCE SOY KECAP MANI 600ml(12)</t>
  </si>
  <si>
    <t>AN720SH</t>
  </si>
  <si>
    <t>ANCHOVIES 720gm (12)</t>
  </si>
  <si>
    <t>COSEWH1</t>
  </si>
  <si>
    <t>CORIANDER SEED WHOLE 1kg</t>
  </si>
  <si>
    <t>CRWH1C</t>
  </si>
  <si>
    <t>CRANBERRIES WHOLE DRIED  1kg</t>
  </si>
  <si>
    <t>CUSE1</t>
  </si>
  <si>
    <t>CUMIN SEED 1kg</t>
  </si>
  <si>
    <t>LI1K</t>
  </si>
  <si>
    <t>LINSEED 1kg</t>
  </si>
  <si>
    <t>POSE1</t>
  </si>
  <si>
    <t>POPPY SEEDS 1kg</t>
  </si>
  <si>
    <t>PUKE1</t>
  </si>
  <si>
    <t>PUMPKIN SEEDS (PEPITAS) 1kg</t>
  </si>
  <si>
    <t>QUSEBL1S</t>
  </si>
  <si>
    <t>SOUL</t>
  </si>
  <si>
    <t>QUINOA SEEDS BLACK 1Kg</t>
  </si>
  <si>
    <t>QUSERE1S</t>
  </si>
  <si>
    <t>QUINOA SEEDS RED 1 Kg</t>
  </si>
  <si>
    <t>QUSERE1C</t>
  </si>
  <si>
    <t>QUINOA SEEDS RED 1kg</t>
  </si>
  <si>
    <t>QUSE1C</t>
  </si>
  <si>
    <t>QUINOA SEEDS WHITE 1kg</t>
  </si>
  <si>
    <t>SESE1</t>
  </si>
  <si>
    <t>SESAME SEEDS 1kg</t>
  </si>
  <si>
    <t>CHSEBL1S</t>
  </si>
  <si>
    <t>CHIA SEED BLACK 1 Kg</t>
  </si>
  <si>
    <t>COGR1</t>
  </si>
  <si>
    <t>CORIANDER GROUND 1kg</t>
  </si>
  <si>
    <t>FRWH1S</t>
  </si>
  <si>
    <t>FREEKEH GREEN WHEAT 1Kg</t>
  </si>
  <si>
    <t>FRSH1</t>
  </si>
  <si>
    <t>FRIED SHALLOTS/ONION 1kg (10)</t>
  </si>
  <si>
    <t>GOBE1S</t>
  </si>
  <si>
    <t>GOJI WOLF BERRY 1Kg</t>
  </si>
  <si>
    <t>ONPO1</t>
  </si>
  <si>
    <t>ONION POWDER 1kg</t>
  </si>
  <si>
    <t>POFI1D</t>
  </si>
  <si>
    <t>POLENTA FINE #2 1kg</t>
  </si>
  <si>
    <t>SUBR15C</t>
  </si>
  <si>
    <t>CSR</t>
  </si>
  <si>
    <t>@SUGAR BROWN 15kg</t>
  </si>
  <si>
    <t>SUCA15C</t>
  </si>
  <si>
    <t>BUNDABERG</t>
  </si>
  <si>
    <t>SUGAR CASTER 25kg</t>
  </si>
  <si>
    <t>PO300</t>
  </si>
  <si>
    <t>ALRAB</t>
  </si>
  <si>
    <t>POMEGRANATE MOLASSES 250ml (12</t>
  </si>
  <si>
    <t>SUBRDA1C</t>
  </si>
  <si>
    <t>SUGAR BROWN DARK 1kg (9)</t>
  </si>
  <si>
    <t>SUIC1</t>
  </si>
  <si>
    <t>SUGAR ICING MIXTURE SOFT 1kg</t>
  </si>
  <si>
    <t>SUIC25B</t>
  </si>
  <si>
    <t>SUGAR ICING SOFT MIX G/F 25kg</t>
  </si>
  <si>
    <t>GOSY5C</t>
  </si>
  <si>
    <t>@GOLDEN SYRUP 5kg</t>
  </si>
  <si>
    <t>MASY1T</t>
  </si>
  <si>
    <t>SIROP</t>
  </si>
  <si>
    <t>MAPLE SYRUP PURE 1lt (12)</t>
  </si>
  <si>
    <t>TOCHAS</t>
  </si>
  <si>
    <t>SPC</t>
  </si>
  <si>
    <t>@TOMATO CHUNKY CRUSHED A10 (3)</t>
  </si>
  <si>
    <t>TOCR10S</t>
  </si>
  <si>
    <t>SELES</t>
  </si>
  <si>
    <t>TOMATO CRUSHED 10kg A/BAG</t>
  </si>
  <si>
    <t>TOPAA10S</t>
  </si>
  <si>
    <t>TOMATO PASTE A10 (6)</t>
  </si>
  <si>
    <t>BEBAAG</t>
  </si>
  <si>
    <t>GDNCI</t>
  </si>
  <si>
    <t>@BABY BEETS A10 (3)</t>
  </si>
  <si>
    <t>CAVI2S</t>
  </si>
  <si>
    <t>@CAPERS IN VINEGAR 2kg (6)</t>
  </si>
  <si>
    <t>CABEA10A</t>
  </si>
  <si>
    <t>BENA</t>
  </si>
  <si>
    <t>CANNELLINI BEANS A10 (6)</t>
  </si>
  <si>
    <t>CHPE2.5S</t>
  </si>
  <si>
    <t>CHICK PEAS 2.5 Kg (6)</t>
  </si>
  <si>
    <t>CHPE2.8E</t>
  </si>
  <si>
    <t>FARO</t>
  </si>
  <si>
    <t>CHIPOTLE PEPPERS 3 kg (6)</t>
  </si>
  <si>
    <t>EA/1</t>
  </si>
  <si>
    <t>COPR2.4</t>
  </si>
  <si>
    <t>HUGO</t>
  </si>
  <si>
    <t>CORNISHONS PREMIUM 4.2kg (3)</t>
  </si>
  <si>
    <t>PEROST4.2R</t>
  </si>
  <si>
    <t>PEPPERS ROASTED STRIPS 4.2kg(3</t>
  </si>
  <si>
    <t>PEROST4.1R</t>
  </si>
  <si>
    <t>PEPPERS ROASTED WHOLE 4.1kg (3</t>
  </si>
  <si>
    <t>VIBA5SE</t>
  </si>
  <si>
    <t>VINEGAR BALSAMIC 5lt (2)</t>
  </si>
  <si>
    <t>VICI5B</t>
  </si>
  <si>
    <t>VINEGAR CIDER 5LT (2)</t>
  </si>
  <si>
    <t>*SV500ML</t>
  </si>
  <si>
    <t>VINEGAR SHERRY 500ml (6)</t>
  </si>
  <si>
    <t>BOTTL/1</t>
  </si>
  <si>
    <t>VIWH20E</t>
  </si>
  <si>
    <t>8FOOD</t>
  </si>
  <si>
    <t>VINEGAR WHITE DISTILLED 20lt</t>
  </si>
  <si>
    <t>DRUM/1</t>
  </si>
  <si>
    <t>WICORE15E</t>
  </si>
  <si>
    <t>ELEGR</t>
  </si>
  <si>
    <t>WINE COOKING RED 15lt</t>
  </si>
  <si>
    <t>WICOWH15E</t>
  </si>
  <si>
    <t>WINE COOKING WHITE 15lt</t>
  </si>
  <si>
    <t>DAMO50M</t>
  </si>
  <si>
    <t>LOYAL</t>
  </si>
  <si>
    <t>DARIOLE MOULDS 50 (6)</t>
  </si>
  <si>
    <t>DADOFR</t>
  </si>
  <si>
    <t>DAY DOT FRIDAY 40x500mm ROLL</t>
  </si>
  <si>
    <t>DADOMO</t>
  </si>
  <si>
    <t>DAY DOT MONDAY 40x500mm ROLL</t>
  </si>
  <si>
    <t>DADOSA</t>
  </si>
  <si>
    <t>DAY DOT SATURDAY 40x500mm ROLL</t>
  </si>
  <si>
    <t>DADOTH</t>
  </si>
  <si>
    <t>DAY DOT THURSDAY 40x500mm ROLL</t>
  </si>
  <si>
    <t>DADOTU</t>
  </si>
  <si>
    <t>DAY DOT TUESDAY 40x500mm ROLL</t>
  </si>
  <si>
    <t>DADOWE</t>
  </si>
  <si>
    <t>DAY DOT WEDNESDAY40x500mm ROLL</t>
  </si>
  <si>
    <t>OIFI20</t>
  </si>
  <si>
    <t>OIL FILTERS 20 CONE 11" (12)</t>
  </si>
  <si>
    <t>CRBA170</t>
  </si>
  <si>
    <t>CRYOV</t>
  </si>
  <si>
    <t>CRYOVAC BAGS 170X220mm 1000's</t>
  </si>
  <si>
    <t>GABA80M</t>
  </si>
  <si>
    <t>MAXVA</t>
  </si>
  <si>
    <t>GARBAGE BAGS H/DUTY 80lt (200)</t>
  </si>
  <si>
    <t>FOBORO10</t>
  </si>
  <si>
    <t>CONF</t>
  </si>
  <si>
    <t>CAKE BOARD SILV ROUND 10" (50)</t>
  </si>
  <si>
    <t>DIWA20C</t>
  </si>
  <si>
    <t>C'WID</t>
  </si>
  <si>
    <t>@DISHWASH LIQUID GP 20lt</t>
  </si>
  <si>
    <t>DIWA5</t>
  </si>
  <si>
    <t>HUPA</t>
  </si>
  <si>
    <t>DISHWASH LIQUID AUTO 20lt</t>
  </si>
  <si>
    <t>MH28</t>
  </si>
  <si>
    <t>MOP HEAD 30 PLASTIC SCREW</t>
  </si>
  <si>
    <t>GLLAL</t>
  </si>
  <si>
    <t>CAPRI</t>
  </si>
  <si>
    <t>GLOVES LATEX LARGE 100 (10)</t>
  </si>
  <si>
    <t>GLDILAL</t>
  </si>
  <si>
    <t>GLOVES PWDR LRG LATEX 100(10)</t>
  </si>
  <si>
    <t>GLRU8.5</t>
  </si>
  <si>
    <t>ASTRA</t>
  </si>
  <si>
    <t>GLOVES RUBBER #8.5 (144)</t>
  </si>
  <si>
    <t>GLVILAC</t>
  </si>
  <si>
    <t>GLOVES VINYL CLR LARGE P/F 100</t>
  </si>
  <si>
    <t>GLVIMEC</t>
  </si>
  <si>
    <t>GLOVES VINYL CLR MED P/F 100</t>
  </si>
  <si>
    <t>HATOROC</t>
  </si>
  <si>
    <t>CAPRC</t>
  </si>
  <si>
    <t>HAND TOWEL ROLLS 80mtr (16)</t>
  </si>
  <si>
    <t>BUPAWH</t>
  </si>
  <si>
    <t>BUTCHERS PAPER WHITEFLAT32x24</t>
  </si>
  <si>
    <t>REAM/1</t>
  </si>
  <si>
    <t>GRPAHC</t>
  </si>
  <si>
    <t>G/PROOF PAPER WHITE 1/2 CUT</t>
  </si>
  <si>
    <t>HABA30C</t>
  </si>
  <si>
    <t>GLAD</t>
  </si>
  <si>
    <t>HANDY BAKE 30cm x120m (6)</t>
  </si>
  <si>
    <t>SISHE</t>
  </si>
  <si>
    <t>NOBR</t>
  </si>
  <si>
    <t>SILICON SHEETS 460x710mm(500</t>
  </si>
  <si>
    <t>PB28</t>
  </si>
  <si>
    <t>PIPING BAG 28cm #1</t>
  </si>
  <si>
    <t>PBD54KS</t>
  </si>
  <si>
    <t>PIPING BAG DISP ULTRA 21" 55cm</t>
  </si>
  <si>
    <t>ROLL/1</t>
  </si>
  <si>
    <t>CORO70</t>
  </si>
  <si>
    <t>GENFA</t>
  </si>
  <si>
    <t>CONT PLAST RND CLR 70ml 50s(20</t>
  </si>
  <si>
    <t>SLEEV/1</t>
  </si>
  <si>
    <t>COPLRO280</t>
  </si>
  <si>
    <t>CONT PLAST ROUND 280ml (500)</t>
  </si>
  <si>
    <t>COPLRO500</t>
  </si>
  <si>
    <t>CONT PLAST ROUND 500ml (500)</t>
  </si>
  <si>
    <t>COPLRE650G</t>
  </si>
  <si>
    <t>CONT PLASTIC RECT 650ml (500)</t>
  </si>
  <si>
    <t>COPLRERI1000</t>
  </si>
  <si>
    <t>CONT PLASTIC RECT RIB1000m(500</t>
  </si>
  <si>
    <t>COPLRERI500</t>
  </si>
  <si>
    <t>CONT PLASTIC RECT RIB500ml(500</t>
  </si>
  <si>
    <t>LIPLRE500G</t>
  </si>
  <si>
    <t>LID PLAS "G" RECT 500/1000ml</t>
  </si>
  <si>
    <t>LIPLRE1000</t>
  </si>
  <si>
    <t>LID PLASTI RECT RIB1000ml(500)</t>
  </si>
  <si>
    <t>LIRO</t>
  </si>
  <si>
    <t>LID ROUND 120mm FIT280/700(500</t>
  </si>
  <si>
    <t>LIRO70</t>
  </si>
  <si>
    <t>LID ROUND 70/100ml 100s (10)</t>
  </si>
  <si>
    <t>CLWR45CW</t>
  </si>
  <si>
    <t>CRYST</t>
  </si>
  <si>
    <t>CLING WRAP (45cm x 600mtr)(6</t>
  </si>
  <si>
    <t>BASKFL9</t>
  </si>
  <si>
    <t>SKEWERS BAMBOO FLOWER KNOT9cm</t>
  </si>
  <si>
    <t>SKPR9</t>
  </si>
  <si>
    <t>PAFU</t>
  </si>
  <si>
    <t>SKEWERS PREM 9cm (100) (100</t>
  </si>
  <si>
    <t>BUUS10D</t>
  </si>
  <si>
    <t>D/DAL</t>
  </si>
  <si>
    <t>BUTTER UNSALTED 10kg</t>
  </si>
  <si>
    <t>BUUN25WA</t>
  </si>
  <si>
    <t>MUR</t>
  </si>
  <si>
    <t>BUTTER UNSALTED 25kg AUST</t>
  </si>
  <si>
    <t>BUUN25WL</t>
  </si>
  <si>
    <t>NZ</t>
  </si>
  <si>
    <t>BUTTER UNSALTED 25kg NZ</t>
  </si>
  <si>
    <t>CHFE2L</t>
  </si>
  <si>
    <t>LEMNO</t>
  </si>
  <si>
    <t>@CHEESE FETTA 2kg (3)</t>
  </si>
  <si>
    <t>CHBO1N</t>
  </si>
  <si>
    <t>NONNA</t>
  </si>
  <si>
    <t>CHEESE BOCCONCINI CHERRY 1kg(3</t>
  </si>
  <si>
    <t>CHPH1LS</t>
  </si>
  <si>
    <t>KRAFT</t>
  </si>
  <si>
    <t>@CHEESE PHILADELPHI LIGHT1kg(6</t>
  </si>
  <si>
    <t>CHPH2K</t>
  </si>
  <si>
    <t>@CHEESE PHILADELPHIA 2kg (8)</t>
  </si>
  <si>
    <t>BLOCK/1</t>
  </si>
  <si>
    <t>CHRI3A</t>
  </si>
  <si>
    <t>ALBA</t>
  </si>
  <si>
    <t>CHEESE RICOTTA 3kg (2)</t>
  </si>
  <si>
    <t>CHMOSL1</t>
  </si>
  <si>
    <t>BLKJK</t>
  </si>
  <si>
    <t>CHEESE MONTEREY JACK SL.1K(12</t>
  </si>
  <si>
    <t>CHSLTA1.5C</t>
  </si>
  <si>
    <t>CONNO</t>
  </si>
  <si>
    <t>CHEESE SLICE TASTY 1.5kg (8)</t>
  </si>
  <si>
    <t>CHPASH1A</t>
  </si>
  <si>
    <t>CHEESE PARMESAN SHAVED 1kg (8)</t>
  </si>
  <si>
    <t>CHMO12D</t>
  </si>
  <si>
    <t>D'FAR</t>
  </si>
  <si>
    <t>@CHEESE MOZZ SHREDDED 2x6kg CA</t>
  </si>
  <si>
    <t>CHPAGR3H</t>
  </si>
  <si>
    <t>UNNIC</t>
  </si>
  <si>
    <t>CHEESE PARMESAN GRATED 3kg(4</t>
  </si>
  <si>
    <t>CHTA2H</t>
  </si>
  <si>
    <t>CHEESE TASTY SHREDDED 2kg (6)</t>
  </si>
  <si>
    <t>CRSOLI1.5B</t>
  </si>
  <si>
    <t>BULLA</t>
  </si>
  <si>
    <t>@CREAM SOUR LIGHT GAST 1.5L(6)</t>
  </si>
  <si>
    <t>CRTH4D</t>
  </si>
  <si>
    <t>@CREAM THICKENED 4lt (3)</t>
  </si>
  <si>
    <t>CRTH5B</t>
  </si>
  <si>
    <t>@CREAM THICKENED 5lt (3)</t>
  </si>
  <si>
    <t>MIFRSK2D</t>
  </si>
  <si>
    <t>MILK FRESH LITE (L/FAT) 2lt (6</t>
  </si>
  <si>
    <t>MIFRPL2D</t>
  </si>
  <si>
    <t>MILK FRESH PLAIN 2lt (6)</t>
  </si>
  <si>
    <t>NORI1</t>
  </si>
  <si>
    <t>NOODLES STIR FRY RICE FRSH 1K</t>
  </si>
  <si>
    <t>RETO2W</t>
  </si>
  <si>
    <t>WOODS</t>
  </si>
  <si>
    <t>@RELISH TOMATO 2.4kg (4)</t>
  </si>
  <si>
    <t>CHHOAP2.2</t>
  </si>
  <si>
    <t>CHUTNEY HOT APPLE 2.2kg (2)</t>
  </si>
  <si>
    <t>HORA2.5KG</t>
  </si>
  <si>
    <t>HORL</t>
  </si>
  <si>
    <t>HORSERADISH 2.5kg (8)</t>
  </si>
  <si>
    <t>TOKA2W</t>
  </si>
  <si>
    <t>TOMATO KASOUNDI 2kg (2)</t>
  </si>
  <si>
    <t>YEFR1M</t>
  </si>
  <si>
    <t>MAU</t>
  </si>
  <si>
    <t>YEAST FRESH 1kg (12)</t>
  </si>
  <si>
    <t>YOGR1C</t>
  </si>
  <si>
    <t>CHRIS</t>
  </si>
  <si>
    <t>@YOGHURT GREEK STYLE 1Kg (6)</t>
  </si>
  <si>
    <t>YONA10S</t>
  </si>
  <si>
    <t>SPART</t>
  </si>
  <si>
    <t>YOGHURT NATURAL 10kg</t>
  </si>
  <si>
    <t>BRPLS</t>
  </si>
  <si>
    <t>SILLY</t>
  </si>
  <si>
    <t>BREAD PLAIN LOAF G/F 1kg (6)</t>
  </si>
  <si>
    <t>POSWMC</t>
  </si>
  <si>
    <t>MCCAI</t>
  </si>
  <si>
    <t>CHIPS 10mm SWEET POT 6X1.13kg</t>
  </si>
  <si>
    <t>CH12STCUSP</t>
  </si>
  <si>
    <t>STAR</t>
  </si>
  <si>
    <t>CHIPS 12mm S/CUT 4x2.5kg</t>
  </si>
  <si>
    <t>BLUBE1F</t>
  </si>
  <si>
    <t>@BLUEBERRIES FROZEN 1kg (10)</t>
  </si>
  <si>
    <t>MACHFO1S</t>
  </si>
  <si>
    <t>SIMPE</t>
  </si>
  <si>
    <t>@MANGO CHEEKS IQF 1kg (12)</t>
  </si>
  <si>
    <t>MIBE1F</t>
  </si>
  <si>
    <t>IQF</t>
  </si>
  <si>
    <t>@MIXED BERRIES 1kg (10) IQF</t>
  </si>
  <si>
    <t>RABE1F</t>
  </si>
  <si>
    <t>@RASPBERRIES 1kg FZN IQF (10)</t>
  </si>
  <si>
    <t>STBE1F</t>
  </si>
  <si>
    <t>@STRAWBERRIES 1kg FZN IQF (10</t>
  </si>
  <si>
    <t>BOBE1G</t>
  </si>
  <si>
    <t>GR/VA</t>
  </si>
  <si>
    <t>BOYSENBERRIES FROZEN 1kg (10)</t>
  </si>
  <si>
    <t>PAPU1S</t>
  </si>
  <si>
    <t>SUNN</t>
  </si>
  <si>
    <t>PASSIONFRUIT PULP 1kg TUB (12)</t>
  </si>
  <si>
    <t>PURA1B</t>
  </si>
  <si>
    <t>BOIRO</t>
  </si>
  <si>
    <t>PUREE RASPBERRY 1kg (6)</t>
  </si>
  <si>
    <t>ICVA11A</t>
  </si>
  <si>
    <t>AUR</t>
  </si>
  <si>
    <t>ICE CREAM VANILLA 11lt (METAL)</t>
  </si>
  <si>
    <t>TO12R</t>
  </si>
  <si>
    <t>MISS</t>
  </si>
  <si>
    <t>@TORTILLA FLOUR 12" 12pk (6)</t>
  </si>
  <si>
    <t>SASL1JC</t>
  </si>
  <si>
    <t>JUCA</t>
  </si>
  <si>
    <t>@SALMON SMOKED SLICED 1kg (10</t>
  </si>
  <si>
    <t>SPROVEJUH</t>
  </si>
  <si>
    <t>HAKKA</t>
  </si>
  <si>
    <t>SPRING ROLL VEG. JUMBO 2.24K(8</t>
  </si>
  <si>
    <t>COKE2E</t>
  </si>
  <si>
    <t>EDGEL</t>
  </si>
  <si>
    <t>@CORN KERNELS 2kg (6)</t>
  </si>
  <si>
    <t>PE2M</t>
  </si>
  <si>
    <t>@PEAS 2kg (6)</t>
  </si>
  <si>
    <t>PEAR 1KG</t>
  </si>
  <si>
    <t xml:space="preserve">RHUBARB </t>
  </si>
  <si>
    <t>BUNCH</t>
  </si>
  <si>
    <t>PEACH 1KG</t>
  </si>
  <si>
    <t>SPINACH LEAF 2.5kg (6)</t>
  </si>
  <si>
    <t>Wholegrain Milling</t>
  </si>
  <si>
    <t>Premium white bakers flour</t>
  </si>
  <si>
    <t>25kg bag</t>
  </si>
  <si>
    <t>IREKS Frost Diamant</t>
  </si>
  <si>
    <t>12.5kg bag</t>
  </si>
  <si>
    <t>Plain Flour</t>
  </si>
  <si>
    <t>ALMOND MEAL</t>
  </si>
  <si>
    <t>BOX 10KG</t>
  </si>
  <si>
    <t>CROISSANT</t>
  </si>
  <si>
    <t>UNIT</t>
  </si>
  <si>
    <t>PAIN AU CHOCOLAT</t>
  </si>
  <si>
    <t>DANISH</t>
  </si>
  <si>
    <t>ALMOND CROISSANT</t>
  </si>
  <si>
    <t>MINI DANISH</t>
  </si>
  <si>
    <t>MINI CHOCOLATE</t>
  </si>
  <si>
    <t>BANANA BREADS</t>
  </si>
  <si>
    <t>LOAF</t>
  </si>
  <si>
    <t>FLECHARD</t>
  </si>
  <si>
    <t>BUTTER SHEETS 10KG</t>
  </si>
  <si>
    <t>BOX</t>
  </si>
  <si>
    <t xml:space="preserve">Apple Diced </t>
  </si>
  <si>
    <t>15kg</t>
  </si>
  <si>
    <t>BELFAUX</t>
  </si>
  <si>
    <t xml:space="preserve">SWISS GRUYERE </t>
  </si>
  <si>
    <t>PACK KG</t>
  </si>
  <si>
    <t>MALDON</t>
  </si>
  <si>
    <t>SEA SALT FLAKED</t>
  </si>
  <si>
    <t>1.5KG TUB</t>
  </si>
  <si>
    <t>Instructions</t>
  </si>
  <si>
    <t>In order to share this form, you will need to send a notification email with the intended recipient.</t>
  </si>
  <si>
    <t>To share this form, email a link to the intended recipient.</t>
  </si>
  <si>
    <t>1. ensure that all the 'count' values and the date have been entered.</t>
  </si>
  <si>
    <t>2. in the menu above, click: "file" - "share..."</t>
  </si>
  <si>
    <t>3. enter the address of our accounts team (accounts@streat.com.au)</t>
  </si>
  <si>
    <t>4. provide an optional 'message' to accompany your sheet</t>
  </si>
  <si>
    <t>SITE/LOCATION:</t>
  </si>
  <si>
    <t>RMIT</t>
  </si>
  <si>
    <t>MONTHLY STOCKTAKE FORM  AUGUST 2025</t>
  </si>
  <si>
    <t>item code</t>
  </si>
  <si>
    <t>Unit of
Measurement</t>
  </si>
  <si>
    <t>Cost
price</t>
  </si>
  <si>
    <t>Count</t>
  </si>
  <si>
    <t>Value</t>
  </si>
  <si>
    <t>Carton
cost</t>
  </si>
  <si>
    <t>Sleeves per carton</t>
  </si>
  <si>
    <t>Units per carton</t>
  </si>
  <si>
    <t>PAPER &amp; PACKAGING (BIOPAK)</t>
  </si>
  <si>
    <t>KEEP CUPS</t>
  </si>
  <si>
    <t>4 oz Cup</t>
  </si>
  <si>
    <t>sleeve</t>
  </si>
  <si>
    <t>Keep Cup</t>
  </si>
  <si>
    <t>8oz Glass (cork band)</t>
  </si>
  <si>
    <t>6oz Cup</t>
  </si>
  <si>
    <t>BC-6-STREAT</t>
  </si>
  <si>
    <t>12oz Glass (cork band)</t>
  </si>
  <si>
    <t>12 oz Cup</t>
  </si>
  <si>
    <t>BC-12-STREAT</t>
  </si>
  <si>
    <t>6oz Thermal</t>
  </si>
  <si>
    <t xml:space="preserve">80mm Lid </t>
  </si>
  <si>
    <t>BCL-8PULP-W</t>
  </si>
  <si>
    <t>6oz Glass (cork band)</t>
  </si>
  <si>
    <t>90mm Lid</t>
  </si>
  <si>
    <t>BCL-12PULP-W-V2</t>
  </si>
  <si>
    <t>12oz ORIGINAL</t>
  </si>
  <si>
    <t>Bio-cane Takeaway base</t>
  </si>
  <si>
    <t>B-LB-1000-N</t>
  </si>
  <si>
    <t>Bio-cane Takeaway Lid</t>
  </si>
  <si>
    <t>B-LBL-N</t>
  </si>
  <si>
    <t>COFFEE &amp; MISC</t>
  </si>
  <si>
    <t>4 Cup tray</t>
  </si>
  <si>
    <t>STREAT pods</t>
  </si>
  <si>
    <t>packet</t>
  </si>
  <si>
    <t>Biopak Kraft Paper Bags</t>
  </si>
  <si>
    <t>BAG-TA-T-LARGE</t>
  </si>
  <si>
    <t>indivdidual</t>
  </si>
  <si>
    <t>Social Blend Bulk</t>
  </si>
  <si>
    <t>10kg bucket/tub</t>
  </si>
  <si>
    <t>cocktail napkins</t>
  </si>
  <si>
    <t>L-B/CNCE-N</t>
  </si>
  <si>
    <t>Social Blend kg</t>
  </si>
  <si>
    <t>1kg bag</t>
  </si>
  <si>
    <t>dinner bio-napkins</t>
  </si>
  <si>
    <t>L-DN1/8-N</t>
  </si>
  <si>
    <t>packet of 100</t>
  </si>
  <si>
    <t>Filter Blend kg</t>
  </si>
  <si>
    <t>6" spoons</t>
  </si>
  <si>
    <t>HY-16S-COATED</t>
  </si>
  <si>
    <t>sleeve of 100</t>
  </si>
  <si>
    <t>Single Origin kg</t>
  </si>
  <si>
    <t>6" knives</t>
  </si>
  <si>
    <t>Decaf 1kg</t>
  </si>
  <si>
    <t>6" forks</t>
  </si>
  <si>
    <t>HY-16F-COATED</t>
  </si>
  <si>
    <t>Retail Coffee (all 250g)</t>
  </si>
  <si>
    <t>250g bags</t>
  </si>
  <si>
    <t>CLEANING ITEMS</t>
  </si>
  <si>
    <t>Matcha</t>
  </si>
  <si>
    <t>blue heavy duty wipes</t>
  </si>
  <si>
    <t>roll</t>
  </si>
  <si>
    <t>Mofo Choc</t>
  </si>
  <si>
    <t>red heavy duty wipes</t>
  </si>
  <si>
    <t>Chai Powder (kg)</t>
  </si>
  <si>
    <t>750ml bottle</t>
  </si>
  <si>
    <t>yellow heavy duty wipes</t>
  </si>
  <si>
    <t xml:space="preserve">Filter papers </t>
  </si>
  <si>
    <t xml:space="preserve">Box   </t>
  </si>
  <si>
    <t>paper bags (2SQ GPL)</t>
  </si>
  <si>
    <t>bundle of 50</t>
  </si>
  <si>
    <t>Cafetto cleaner</t>
  </si>
  <si>
    <t>1kg</t>
  </si>
  <si>
    <t>paper bags (2SQ)</t>
  </si>
  <si>
    <t>bundle of 100</t>
  </si>
  <si>
    <t>paper bags (1SQ GPL)</t>
  </si>
  <si>
    <t>paper bags (1SQ)</t>
  </si>
  <si>
    <t>Tea Drop Tea</t>
  </si>
  <si>
    <t>Tea Bags</t>
  </si>
  <si>
    <t>greaseproof paper</t>
  </si>
  <si>
    <t>yellow ribbon/pack</t>
  </si>
  <si>
    <t>thermal rolls</t>
  </si>
  <si>
    <t>individual roll</t>
  </si>
  <si>
    <t>CHAMOMILE</t>
  </si>
  <si>
    <t>Kg</t>
  </si>
  <si>
    <t>garbage bags</t>
  </si>
  <si>
    <t>GABA77</t>
  </si>
  <si>
    <t>packet of 50</t>
  </si>
  <si>
    <t>EARL GREY</t>
  </si>
  <si>
    <t>interleaved hand towel</t>
  </si>
  <si>
    <t>PEPPERMINT</t>
  </si>
  <si>
    <t>aluminium foil</t>
  </si>
  <si>
    <t>unit</t>
  </si>
  <si>
    <t>LEMON/GING</t>
  </si>
  <si>
    <t>gloves latex</t>
  </si>
  <si>
    <t>OOLONG/GREEN</t>
  </si>
  <si>
    <t>Hand soap</t>
  </si>
  <si>
    <t>5L</t>
  </si>
  <si>
    <t>EBT / GOOD MORNING</t>
  </si>
  <si>
    <t>Dish soap</t>
  </si>
  <si>
    <t>JASMINE PEARLS</t>
  </si>
  <si>
    <t>Bleach</t>
  </si>
  <si>
    <t>WHITE PEUNOY</t>
  </si>
  <si>
    <t>Hand sanitiser</t>
  </si>
  <si>
    <t>DRY GOODS</t>
  </si>
  <si>
    <t>Glass Cleaner</t>
  </si>
  <si>
    <t>honey (Jerry can)</t>
  </si>
  <si>
    <t>3L bottle</t>
  </si>
  <si>
    <t>Oven cleaner</t>
  </si>
  <si>
    <t>Machone glass liquid</t>
  </si>
  <si>
    <t>COLD BEVERAGES</t>
  </si>
  <si>
    <t>natvia sachet sticks</t>
  </si>
  <si>
    <t>box (500)</t>
  </si>
  <si>
    <t>Sungold 2L jersey</t>
  </si>
  <si>
    <t>2L bottle</t>
  </si>
  <si>
    <t>sugar (raw)</t>
  </si>
  <si>
    <t>Sungold 2L jersey lite</t>
  </si>
  <si>
    <t>sugar (raw - bulk)</t>
  </si>
  <si>
    <t>BONSOY</t>
  </si>
  <si>
    <t>1L bottle</t>
  </si>
  <si>
    <t>tomato sauce (RMIT)</t>
  </si>
  <si>
    <t>4L</t>
  </si>
  <si>
    <t>Almond Milk</t>
  </si>
  <si>
    <t>Sub Total</t>
  </si>
  <si>
    <t>Oat milk</t>
  </si>
  <si>
    <t>Kombucha (all varieties) (330mL)</t>
  </si>
  <si>
    <t>bottle</t>
  </si>
  <si>
    <t>Grand Total</t>
  </si>
  <si>
    <t>beloka sparkling</t>
  </si>
  <si>
    <t>Beloka still</t>
  </si>
  <si>
    <t>Karma - all flavours</t>
  </si>
  <si>
    <t>The Juice Guys Juice</t>
  </si>
  <si>
    <t>item</t>
  </si>
  <si>
    <t>supplier</t>
  </si>
  <si>
    <t>unit size 1kg unless specified</t>
  </si>
  <si>
    <t>price</t>
  </si>
  <si>
    <t>cost</t>
  </si>
  <si>
    <t>Column2</t>
  </si>
  <si>
    <t>streakybacon</t>
  </si>
  <si>
    <t>salt kitchen</t>
  </si>
  <si>
    <t>July</t>
  </si>
  <si>
    <t>Bacon Rasher whole</t>
  </si>
  <si>
    <t>Price</t>
  </si>
  <si>
    <t>bratwurst</t>
  </si>
  <si>
    <t>ham midnight(&amp;teadrop ham)</t>
  </si>
  <si>
    <t>mr cannubi bresaola</t>
  </si>
  <si>
    <t>F &amp;V</t>
  </si>
  <si>
    <t>Salami cotto</t>
  </si>
  <si>
    <t>MEAT</t>
  </si>
  <si>
    <t>cotechino</t>
  </si>
  <si>
    <t>donati's</t>
  </si>
  <si>
    <t>;</t>
  </si>
  <si>
    <t>Seafood</t>
  </si>
  <si>
    <t>mortadella   Green Olive</t>
  </si>
  <si>
    <t>Dairy</t>
  </si>
  <si>
    <t>wagyu girello pastrami</t>
  </si>
  <si>
    <t>DRY</t>
  </si>
  <si>
    <t>guanciale</t>
  </si>
  <si>
    <t>Same</t>
  </si>
  <si>
    <t>packaging</t>
  </si>
  <si>
    <t>fiocco</t>
  </si>
  <si>
    <t>capocollo</t>
  </si>
  <si>
    <t>noir de jambon</t>
  </si>
  <si>
    <t xml:space="preserve">flat pancetta   </t>
  </si>
  <si>
    <t>confit hocks</t>
  </si>
  <si>
    <t>salami cotto</t>
  </si>
  <si>
    <t>JULY</t>
  </si>
  <si>
    <t>Salt kitchen leg ham</t>
  </si>
  <si>
    <t>Pinnacle flank steak</t>
  </si>
  <si>
    <t>Gamekeepers</t>
  </si>
  <si>
    <t>tri tip MB2</t>
  </si>
  <si>
    <t>flat iron steak</t>
  </si>
  <si>
    <t>flat iron MBS 6</t>
  </si>
  <si>
    <t>wagyu intercostals</t>
  </si>
  <si>
    <t>beef intercostals</t>
  </si>
  <si>
    <t>beef short rib meat</t>
  </si>
  <si>
    <t>petit tender</t>
  </si>
  <si>
    <t>cornfed chicken breast</t>
  </si>
  <si>
    <t>cornfed maryland mince</t>
  </si>
  <si>
    <t>gamekeepers</t>
  </si>
  <si>
    <t>cornfed  maryland fillet</t>
  </si>
  <si>
    <t>chicken wingettes</t>
  </si>
  <si>
    <t>:</t>
  </si>
  <si>
    <t xml:space="preserve">chicken mince </t>
  </si>
  <si>
    <t>turkey mince</t>
  </si>
  <si>
    <t>chicken corn fed sz 12 whole 5 pack</t>
  </si>
  <si>
    <t>5 chix</t>
  </si>
  <si>
    <t>diced beef</t>
  </si>
  <si>
    <t>beef mince</t>
  </si>
  <si>
    <t>pork loin</t>
  </si>
  <si>
    <t xml:space="preserve">pork neck </t>
  </si>
  <si>
    <t>Western plains</t>
  </si>
  <si>
    <t>pork hock</t>
  </si>
  <si>
    <t xml:space="preserve">pork shoulder   </t>
  </si>
  <si>
    <t>pork bellies - b/r</t>
  </si>
  <si>
    <t>pork cheek</t>
  </si>
  <si>
    <t>pork mince</t>
  </si>
  <si>
    <t>ham hock</t>
  </si>
  <si>
    <t>venison bones</t>
  </si>
  <si>
    <t>venison shoulder</t>
  </si>
  <si>
    <t>venison mince</t>
  </si>
  <si>
    <t>veal bones</t>
  </si>
  <si>
    <t>beef brisket</t>
  </si>
  <si>
    <t>beef shin</t>
  </si>
  <si>
    <t>beef porterhouse</t>
  </si>
  <si>
    <t>beef eye fillet</t>
  </si>
  <si>
    <t>beef brisket smoked</t>
  </si>
  <si>
    <t>goat casserole</t>
  </si>
  <si>
    <t>boar / sausage mince</t>
  </si>
  <si>
    <t>corned beef girello</t>
  </si>
  <si>
    <t>lamb ham</t>
  </si>
  <si>
    <t>kaiserfleisch</t>
  </si>
  <si>
    <t xml:space="preserve">thin bacon </t>
  </si>
  <si>
    <t>5kg</t>
    <phoneticPr fontId="4"/>
  </si>
  <si>
    <t>duck and venison terrine</t>
  </si>
  <si>
    <t>country pork terrine</t>
  </si>
  <si>
    <t>chicken porcini terrine</t>
  </si>
  <si>
    <t>lamb shoulder</t>
  </si>
  <si>
    <t>lamb ribs</t>
  </si>
  <si>
    <t>lamb osso</t>
  </si>
  <si>
    <t>ox tongue smoked</t>
  </si>
  <si>
    <t>Pastrami</t>
  </si>
  <si>
    <t>Chickens whole cornfed sz 18</t>
  </si>
  <si>
    <t>wagyu bresaola</t>
  </si>
  <si>
    <t>wagyu mince</t>
  </si>
  <si>
    <t>lamb mince</t>
  </si>
  <si>
    <t>smoked chicken breast</t>
  </si>
  <si>
    <t>buffalo sausages</t>
  </si>
  <si>
    <t>quail</t>
  </si>
  <si>
    <t>Spatchcock #5</t>
  </si>
  <si>
    <t>smoked duck</t>
  </si>
  <si>
    <t>smoked duck breast</t>
  </si>
  <si>
    <t>duck</t>
  </si>
  <si>
    <t>duck mince</t>
  </si>
  <si>
    <t>duck merguez</t>
  </si>
  <si>
    <t>duck confit</t>
  </si>
  <si>
    <t>Toulouse sausages</t>
  </si>
  <si>
    <t>veal osso bucco</t>
  </si>
  <si>
    <t>veal girello</t>
  </si>
  <si>
    <t>duck breast</t>
  </si>
  <si>
    <t>suet</t>
  </si>
  <si>
    <t>Leg Ham Sliced Traditional Wood Smoked</t>
  </si>
  <si>
    <t>gammon hock</t>
  </si>
  <si>
    <t>Melb pantry</t>
  </si>
  <si>
    <t>cumberland sausages</t>
  </si>
  <si>
    <t>salmon trim</t>
  </si>
  <si>
    <t>smoked rockling</t>
  </si>
  <si>
    <t>bacon steaks</t>
  </si>
  <si>
    <t>smoked yoghurt</t>
  </si>
  <si>
    <t>Melb Pantry</t>
  </si>
  <si>
    <t>smoked salmon</t>
  </si>
  <si>
    <t>smoked maple</t>
  </si>
  <si>
    <t>Halal pastourma</t>
  </si>
  <si>
    <t>Petty</t>
  </si>
  <si>
    <t>chorizo dry</t>
  </si>
  <si>
    <t>&gt;</t>
  </si>
  <si>
    <t>chicken fillets skin on</t>
  </si>
  <si>
    <t>M &amp; J chickens</t>
  </si>
  <si>
    <t>chicken tenderloins</t>
  </si>
  <si>
    <t>chicken size 20</t>
  </si>
  <si>
    <t>Schnitzel J crumb 200g ea</t>
  </si>
  <si>
    <t>butterfly chicken</t>
  </si>
  <si>
    <t>chicken thigh dice</t>
  </si>
  <si>
    <t>chicken fillets skin off</t>
  </si>
  <si>
    <t>beef skewers</t>
  </si>
  <si>
    <t xml:space="preserve">morcilla Rodriguez </t>
  </si>
  <si>
    <t>S&amp;G</t>
  </si>
  <si>
    <t>chorizitos La Boq</t>
  </si>
  <si>
    <t>La Hoguera bloc serrano sliced</t>
  </si>
  <si>
    <t>500g</t>
  </si>
  <si>
    <t>san Danielle proscuitto 16m</t>
  </si>
  <si>
    <t>Villani culatta proscuitto</t>
  </si>
  <si>
    <t>Quattro Stelle tartufo</t>
  </si>
  <si>
    <t>j</t>
  </si>
  <si>
    <t>Check</t>
  </si>
  <si>
    <t>Di Palma Wagyu breasola</t>
  </si>
  <si>
    <t>Di Palma beef bresaola</t>
  </si>
  <si>
    <t>Quattro Stelle valtellina bresaola</t>
  </si>
  <si>
    <t>lonza quattra stelle</t>
  </si>
  <si>
    <t>Nduja Quattro Stelle</t>
  </si>
  <si>
    <t>Navarro La Boq</t>
  </si>
  <si>
    <t>chorizo secoLa Boq</t>
  </si>
  <si>
    <t>Morcon LA Boq</t>
  </si>
  <si>
    <t>LA Boq Salchi Bosque</t>
  </si>
  <si>
    <t>Sobressada La Boq</t>
  </si>
  <si>
    <t>boqueria fuet anis</t>
  </si>
  <si>
    <t>/</t>
  </si>
  <si>
    <t>Ventricina Quattro Stelle</t>
  </si>
  <si>
    <t>DE PALMA SALUMI FINOCCHIATA</t>
  </si>
  <si>
    <t>la boqueria chorizon</t>
  </si>
  <si>
    <t>-</t>
  </si>
  <si>
    <t>cecina</t>
  </si>
  <si>
    <t>petit bosc</t>
  </si>
  <si>
    <t>longaniza trio/ oscara grande</t>
  </si>
  <si>
    <t>La Boq Basque saucisson</t>
  </si>
  <si>
    <t>chorizo mince</t>
  </si>
  <si>
    <t>5kg</t>
  </si>
  <si>
    <t>saison squid &amp; truff</t>
  </si>
  <si>
    <t>SAISON pork and truffle</t>
  </si>
  <si>
    <t>Saison kangaroo salami</t>
  </si>
  <si>
    <t>flat pancetta Adelaide Hills</t>
  </si>
  <si>
    <t>norcia Di Palma</t>
  </si>
  <si>
    <t>butifarra blanca smoked</t>
  </si>
  <si>
    <t>San Jose Saucisson</t>
  </si>
  <si>
    <t>Adelaide Hills Gourmet speck</t>
  </si>
  <si>
    <t>rodriguez pizza salami</t>
  </si>
  <si>
    <t>m</t>
  </si>
  <si>
    <t>Casabai Spicy</t>
  </si>
  <si>
    <t>Fennel &amp; Garlic salami</t>
  </si>
  <si>
    <t>Gran Reserve Serrano Ham</t>
  </si>
  <si>
    <t>sopressa pressata</t>
  </si>
  <si>
    <t>Sliced calabrese 100g</t>
  </si>
  <si>
    <t>100g</t>
  </si>
  <si>
    <t>porchetta</t>
  </si>
  <si>
    <t>MARCHETTI</t>
  </si>
  <si>
    <t>looks cha shu</t>
  </si>
  <si>
    <t>duck salami</t>
  </si>
  <si>
    <t>Bot Cuis Persian feta</t>
  </si>
  <si>
    <t>Bot Cui  gold mozz balls</t>
  </si>
  <si>
    <t>Bot Cui New York</t>
  </si>
  <si>
    <t xml:space="preserve">EGGS </t>
  </si>
  <si>
    <t>Green eggs</t>
  </si>
  <si>
    <t>15d 700</t>
  </si>
  <si>
    <t>15d 600</t>
  </si>
  <si>
    <t>schultz quark</t>
  </si>
  <si>
    <t>Calendar</t>
  </si>
  <si>
    <t>marinated Meredith feta</t>
  </si>
  <si>
    <t>yoghurt 500g Schultz</t>
  </si>
  <si>
    <t>meredith goat curd</t>
  </si>
  <si>
    <t>Elderslies</t>
  </si>
  <si>
    <t xml:space="preserve">DUCK EGGS </t>
  </si>
  <si>
    <t>ea</t>
  </si>
  <si>
    <t>-     Onetik Chebiris x 5.76</t>
  </si>
  <si>
    <t>kefalograviera</t>
  </si>
  <si>
    <t>-     Juraflora comte Block x 2.9</t>
  </si>
  <si>
    <t>onetik chabrin</t>
  </si>
  <si>
    <t>-     Alba Cheese x 0.53</t>
  </si>
  <si>
    <t>Jacks english cheddar</t>
  </si>
  <si>
    <t>-     Onetik Ossau Iraty 5month x 0.76</t>
  </si>
  <si>
    <t>YVD feta in brine</t>
  </si>
  <si>
    <t>-     Lingot D’ Argental x 1.26</t>
  </si>
  <si>
    <t>calendar chevre</t>
  </si>
  <si>
    <t>-     House Queso x 0.64</t>
  </si>
  <si>
    <t>-     Mondarra Cream Cheese 1kg x 3.39</t>
  </si>
  <si>
    <t>delicapra</t>
  </si>
  <si>
    <t>-     Stringy Haloumi cheese x 0.38</t>
  </si>
  <si>
    <t>galotyri</t>
  </si>
  <si>
    <t>same</t>
  </si>
  <si>
    <t>-     Mexican cheese (soft) x 0.38</t>
  </si>
  <si>
    <t>mini cabridoux</t>
  </si>
  <si>
    <t>-     Chtaura Akawi cheese x 0.2</t>
  </si>
  <si>
    <t>taleggio</t>
  </si>
  <si>
    <t>-     Tasty Cheese 1.5kg x 5</t>
  </si>
  <si>
    <t>mauri mascarpone</t>
  </si>
  <si>
    <t>-     Vegan Fetta x 0.8</t>
  </si>
  <si>
    <t>Mauri mascarpone</t>
  </si>
  <si>
    <t>Challerhocker</t>
  </si>
  <si>
    <t>-     Vegan Mozzarella x 1</t>
  </si>
  <si>
    <t>Murcia Al Vino</t>
  </si>
  <si>
    <t>Basque Chebris</t>
  </si>
  <si>
    <t>crispbread</t>
  </si>
  <si>
    <t>Irish brown bread crackers</t>
  </si>
  <si>
    <t>crackers fine cheese co walnut/ olive oil</t>
  </si>
  <si>
    <t>crackers rosemary</t>
  </si>
  <si>
    <t>British county cheese co cheddar</t>
  </si>
  <si>
    <t xml:space="preserve">waferthins foodservice  crackers </t>
  </si>
  <si>
    <t>cashel blue</t>
  </si>
  <si>
    <t xml:space="preserve">Langres </t>
  </si>
  <si>
    <t>Bleu des Basque</t>
  </si>
  <si>
    <t>good cheddar NYD/ Montgom</t>
  </si>
  <si>
    <t>Butter sheets Lescure</t>
  </si>
  <si>
    <t xml:space="preserve">waterwheel  crackers </t>
  </si>
  <si>
    <t>Cheese Culture</t>
  </si>
  <si>
    <t>24 x 100g</t>
  </si>
  <si>
    <t>Larder &amp; co Byron Bay GF cracker</t>
  </si>
  <si>
    <t>120g</t>
  </si>
  <si>
    <t>Dáffinois campagnier</t>
  </si>
  <si>
    <t>vannela Oaxaca cheese</t>
  </si>
  <si>
    <t>string cheese</t>
  </si>
  <si>
    <t>500g</t>
    <phoneticPr fontId="4"/>
  </si>
  <si>
    <t>queso fresco</t>
  </si>
  <si>
    <t>750g</t>
    <phoneticPr fontId="4"/>
  </si>
  <si>
    <t>capers Simon Johnson</t>
  </si>
  <si>
    <t xml:space="preserve"> butter salted</t>
  </si>
  <si>
    <t>St David dairy</t>
  </si>
  <si>
    <t xml:space="preserve">SALTED BUTTER </t>
  </si>
  <si>
    <t>LARD ASS</t>
  </si>
  <si>
    <t>cream 40%</t>
  </si>
  <si>
    <t>crème fraiche</t>
  </si>
  <si>
    <t>yoghurt</t>
  </si>
  <si>
    <t>SDD</t>
  </si>
  <si>
    <t>buttermilk</t>
  </si>
  <si>
    <t>milk full cream</t>
  </si>
  <si>
    <t xml:space="preserve">RED blackjack </t>
  </si>
  <si>
    <t>Bidvest</t>
  </si>
  <si>
    <t>*</t>
  </si>
  <si>
    <t>SDD cream</t>
  </si>
  <si>
    <t>2L</t>
  </si>
  <si>
    <t>no more</t>
  </si>
  <si>
    <t>1L</t>
  </si>
  <si>
    <t xml:space="preserve">Oat melt </t>
  </si>
  <si>
    <t>600g</t>
  </si>
  <si>
    <t>gorgonzola</t>
  </si>
  <si>
    <t xml:space="preserve">gorgonzola tosi </t>
  </si>
  <si>
    <t>brie</t>
  </si>
  <si>
    <t>Quickes cheddar</t>
  </si>
  <si>
    <t>hand cut aged cheddar</t>
  </si>
  <si>
    <t>1856 vintage cheddar</t>
  </si>
  <si>
    <t>1856 red leicester</t>
  </si>
  <si>
    <t>Lingot d'rgental</t>
  </si>
  <si>
    <t>emmental</t>
  </si>
  <si>
    <t>D'argental cremeux</t>
  </si>
  <si>
    <t>Jura Flora comte block</t>
  </si>
  <si>
    <t>bay of fires cheddar</t>
  </si>
  <si>
    <t>fontina aosta</t>
  </si>
  <si>
    <t>fontella</t>
  </si>
  <si>
    <t>from 23.95</t>
  </si>
  <si>
    <t>fontal</t>
  </si>
  <si>
    <t>mozzarella block</t>
  </si>
  <si>
    <t>2.5kg</t>
  </si>
  <si>
    <t>Agour brebis</t>
  </si>
  <si>
    <t xml:space="preserve">agour chevre </t>
  </si>
  <si>
    <t>delice de cremiers</t>
  </si>
  <si>
    <t>haloumi Olympus</t>
  </si>
  <si>
    <t>grana 2nd grade 16m</t>
  </si>
  <si>
    <t>reggiano parmesan  (2064)</t>
  </si>
  <si>
    <t>swiss gruyere</t>
  </si>
  <si>
    <t>ricotta</t>
  </si>
  <si>
    <t>scamorza smoked</t>
  </si>
  <si>
    <t>scamorza not smoked</t>
  </si>
  <si>
    <t>salted ricotta</t>
  </si>
  <si>
    <t>paraje manchego 12 month</t>
  </si>
  <si>
    <t>buffalo feta</t>
  </si>
  <si>
    <t>S&amp;G goat curd</t>
  </si>
  <si>
    <t>dreaming goat dairy goat curd</t>
  </si>
  <si>
    <t>pecorino romano</t>
  </si>
  <si>
    <t>AOP gruyere</t>
  </si>
  <si>
    <t>Gab Coulet roquefort blue</t>
  </si>
  <si>
    <t>Van der Heiden Delta Gouda 12m</t>
  </si>
  <si>
    <t>Van der Heiden Delta Gouda 36m</t>
  </si>
  <si>
    <t>delice 500g</t>
  </si>
  <si>
    <t>goat camembert</t>
  </si>
  <si>
    <t>cacciocavallo truffle</t>
  </si>
  <si>
    <t>cropwell bishop stilton</t>
  </si>
  <si>
    <t>Goat cheddar</t>
  </si>
  <si>
    <t>sottocenere with truffle</t>
  </si>
  <si>
    <t>smoked raclette</t>
  </si>
  <si>
    <t>mountain pecorino - Moliternino</t>
  </si>
  <si>
    <t>pecorino toscano</t>
  </si>
  <si>
    <t>San Simon</t>
  </si>
  <si>
    <t xml:space="preserve">Burrata </t>
  </si>
  <si>
    <t>Chevre log</t>
  </si>
  <si>
    <t>soignon goat log</t>
  </si>
  <si>
    <t>Diplomat  cream cheese</t>
  </si>
  <si>
    <t>Frico sliced maasdam</t>
  </si>
  <si>
    <t>500gx2</t>
  </si>
  <si>
    <t>silver wattle / Shepherd's whey</t>
  </si>
  <si>
    <t>no more? round one</t>
  </si>
  <si>
    <t>stracciatella</t>
  </si>
  <si>
    <t>fior de latte</t>
  </si>
  <si>
    <t>sardinian truffled pina regno</t>
  </si>
  <si>
    <t xml:space="preserve">Pinna Capra Sarda </t>
  </si>
  <si>
    <t>section 28 monte rosso</t>
  </si>
  <si>
    <t>section 28 La saracca</t>
  </si>
  <si>
    <t>Brebirousse</t>
  </si>
  <si>
    <t>Petit Cantal</t>
  </si>
  <si>
    <t>provolone dolce sliced</t>
  </si>
  <si>
    <t>van der Heiden chevrano</t>
  </si>
  <si>
    <t>San Rocco Collina Veneto</t>
  </si>
  <si>
    <t>asiago</t>
  </si>
  <si>
    <t>3 milks</t>
  </si>
  <si>
    <t>Pinna Pecorino Pepato</t>
    <phoneticPr fontId="4"/>
  </si>
  <si>
    <t>St Andrew's Farmhouse chedder</t>
    <phoneticPr fontId="4"/>
  </si>
  <si>
    <t>Jarlsberg</t>
  </si>
  <si>
    <t>5kg loaf</t>
  </si>
  <si>
    <t>Ricotta &amp; Smooth</t>
  </si>
  <si>
    <t>chardonnay vin</t>
  </si>
  <si>
    <t>merlot vin</t>
  </si>
  <si>
    <t>PX vinegar</t>
  </si>
  <si>
    <t>cider vin Lirah</t>
    <phoneticPr fontId="4"/>
  </si>
  <si>
    <t>materiaprima salted capers</t>
  </si>
  <si>
    <t>capers rioverde</t>
  </si>
  <si>
    <t>piquillo peppers</t>
  </si>
  <si>
    <t>piquillo small tin</t>
  </si>
  <si>
    <t>guindillas</t>
  </si>
  <si>
    <t>sweet pickled garlic</t>
  </si>
  <si>
    <t>pickled chiodini mush</t>
  </si>
  <si>
    <t>pickled straw mush</t>
  </si>
  <si>
    <t>westmont pickles</t>
  </si>
  <si>
    <t>Bread &amp; butter pickles</t>
  </si>
  <si>
    <t>Alto olive oil</t>
  </si>
  <si>
    <t>S&amp;G Virgin Olive Oil Victorian</t>
  </si>
  <si>
    <t>sicilian olives</t>
  </si>
  <si>
    <t>gordal pitted green olives</t>
  </si>
  <si>
    <t>Giovanni Italian pickles gardiniera brine</t>
  </si>
  <si>
    <t>Giovanni Italian pickles gardiniera oil</t>
  </si>
  <si>
    <t>La Boq smoked paprika</t>
  </si>
  <si>
    <t>LA Boq sweet paprika</t>
  </si>
  <si>
    <t>bomba rice</t>
  </si>
  <si>
    <t>bomba rice antonio tomas</t>
  </si>
  <si>
    <t>GF crackers beet</t>
  </si>
  <si>
    <t>GF crackers seedy</t>
  </si>
  <si>
    <t>GF crackers turmeric</t>
  </si>
  <si>
    <t>GF crackers pink peppercorn</t>
  </si>
  <si>
    <t>Emily quince paste</t>
  </si>
  <si>
    <t>Miss Leon quince paste</t>
  </si>
  <si>
    <t>caperberries</t>
  </si>
  <si>
    <t>Solera Jerez Vinegar</t>
  </si>
  <si>
    <t>750ml</t>
  </si>
  <si>
    <t>truffle salsa (vegan)</t>
  </si>
  <si>
    <t xml:space="preserve">hot smoked trout </t>
  </si>
  <si>
    <t>smoked sardines</t>
  </si>
  <si>
    <t>cold smoked kingfish</t>
  </si>
  <si>
    <t>hot smoked kingfish</t>
  </si>
  <si>
    <t xml:space="preserve">Flott anchovy fillets jar </t>
  </si>
  <si>
    <t>anchovy fillets</t>
  </si>
  <si>
    <t>Yurrita anchovies in oil</t>
  </si>
  <si>
    <t>;frozen</t>
  </si>
  <si>
    <t>smoked ocean trout</t>
  </si>
  <si>
    <t>Harris everyday smoked salmon</t>
  </si>
  <si>
    <t>Dry good frozen salmon</t>
  </si>
  <si>
    <t>hudson/Bidvest</t>
  </si>
  <si>
    <t>smoked cod</t>
  </si>
  <si>
    <t>smoked haddock</t>
  </si>
  <si>
    <t>bugs</t>
  </si>
  <si>
    <t>Oceanmade</t>
  </si>
  <si>
    <t>slimy mackerel</t>
  </si>
  <si>
    <t>bonito</t>
  </si>
  <si>
    <t>spanish mackerel</t>
  </si>
  <si>
    <t>oysters opened</t>
  </si>
  <si>
    <t>salmon king</t>
  </si>
  <si>
    <t>squid</t>
  </si>
  <si>
    <t>ocean trout</t>
  </si>
  <si>
    <t>white tarama paste</t>
  </si>
  <si>
    <t>spanner crabmeat</t>
  </si>
  <si>
    <t>mussels</t>
  </si>
  <si>
    <t>canadian scallops</t>
  </si>
  <si>
    <t>salmon roe</t>
  </si>
  <si>
    <t>oysters</t>
  </si>
  <si>
    <t>doz</t>
  </si>
  <si>
    <t>kingfish</t>
  </si>
  <si>
    <t>monkfish</t>
  </si>
  <si>
    <t>dry scallops, Bass Straight</t>
  </si>
  <si>
    <t>tuna cooking</t>
  </si>
  <si>
    <t>alfalfa sprout</t>
  </si>
  <si>
    <t>VEG CONN</t>
  </si>
  <si>
    <t>punn</t>
  </si>
  <si>
    <t>DOBSON"S POTATOES</t>
  </si>
  <si>
    <t>DOBSONS</t>
  </si>
  <si>
    <t>10kg</t>
  </si>
  <si>
    <t>apple BRAVA</t>
  </si>
  <si>
    <t>12kg box</t>
  </si>
  <si>
    <t>apple Pink Lady</t>
  </si>
  <si>
    <t>apple green</t>
  </si>
  <si>
    <t>Apple Granny Smith</t>
  </si>
  <si>
    <t>kg</t>
  </si>
  <si>
    <t>apricots   M Park</t>
  </si>
  <si>
    <t>apricots   cheap</t>
  </si>
  <si>
    <t>Baby Globe Artichoke</t>
  </si>
  <si>
    <t>7Kg</t>
  </si>
  <si>
    <t>Globe Artichokes</t>
  </si>
  <si>
    <t>box</t>
  </si>
  <si>
    <t>Jerusalem Artichokes</t>
  </si>
  <si>
    <t>1Kg</t>
  </si>
  <si>
    <t>Green Asparagus large</t>
  </si>
  <si>
    <t>KG</t>
  </si>
  <si>
    <t>white asparagus</t>
  </si>
  <si>
    <t>avocado</t>
  </si>
  <si>
    <t>tray</t>
  </si>
  <si>
    <t>(frozen)</t>
  </si>
  <si>
    <t>bananas</t>
  </si>
  <si>
    <t>Banana  LADY FINGER</t>
  </si>
  <si>
    <t>Micro Green Basil</t>
  </si>
  <si>
    <t>150g</t>
  </si>
  <si>
    <t>Micro Red Basil</t>
  </si>
  <si>
    <t>basil</t>
  </si>
  <si>
    <t>bun</t>
  </si>
  <si>
    <t>Opal basil</t>
  </si>
  <si>
    <t>thai basil</t>
  </si>
  <si>
    <t>butter beans</t>
  </si>
  <si>
    <t>1KG</t>
  </si>
  <si>
    <t>Snake Beans</t>
  </si>
  <si>
    <t xml:space="preserve">beans green </t>
  </si>
  <si>
    <t>broad beans</t>
  </si>
  <si>
    <t>beanshoots</t>
  </si>
  <si>
    <t>baby beets</t>
  </si>
  <si>
    <t>golden beets</t>
  </si>
  <si>
    <t>beets chiogga</t>
  </si>
  <si>
    <t xml:space="preserve">beetroot  </t>
  </si>
  <si>
    <t>10 kg bag</t>
  </si>
  <si>
    <t>Betel Leaves</t>
  </si>
  <si>
    <t>1 Each</t>
  </si>
  <si>
    <t xml:space="preserve">blueberries  </t>
  </si>
  <si>
    <t>pun</t>
  </si>
  <si>
    <t>blackberries</t>
  </si>
  <si>
    <t>blackberry bulk (froz MFM)</t>
  </si>
  <si>
    <t>Baby Bok Choy</t>
  </si>
  <si>
    <t>350g</t>
  </si>
  <si>
    <t>Borage Flowers</t>
  </si>
  <si>
    <t xml:space="preserve"> Broccoli</t>
  </si>
  <si>
    <t>Broccolini</t>
  </si>
  <si>
    <t>2.5 kgbox</t>
  </si>
  <si>
    <t>brussels sprouts</t>
  </si>
  <si>
    <t>Cabbage red</t>
  </si>
  <si>
    <t>cabbage drumhead</t>
  </si>
  <si>
    <t>cabbage chinese</t>
  </si>
  <si>
    <t>capsicum red</t>
  </si>
  <si>
    <t>capsicum yellow</t>
  </si>
  <si>
    <t>Chard Swiss</t>
  </si>
  <si>
    <t>1.5kg box</t>
  </si>
  <si>
    <t>Hungarian banana chillies</t>
  </si>
  <si>
    <t xml:space="preserve">6kg box </t>
  </si>
  <si>
    <t>Poblano chillies</t>
  </si>
  <si>
    <t>chillies jalapeno</t>
  </si>
  <si>
    <t>chillies long red</t>
  </si>
  <si>
    <t>chillies green large</t>
  </si>
  <si>
    <t>chillies shisito</t>
  </si>
  <si>
    <t>dutch carrrots sized</t>
  </si>
  <si>
    <t>carrots white</t>
  </si>
  <si>
    <t>yellow carrots sized</t>
  </si>
  <si>
    <t>baby red carrots</t>
  </si>
  <si>
    <t>purple carrots sized</t>
  </si>
  <si>
    <t xml:space="preserve">carrots   </t>
  </si>
  <si>
    <t>cauliflower</t>
  </si>
  <si>
    <t xml:space="preserve">cherries </t>
  </si>
  <si>
    <t>chervil</t>
  </si>
  <si>
    <t>chives</t>
  </si>
  <si>
    <t>Cavolo Nero</t>
  </si>
  <si>
    <t>bch</t>
  </si>
  <si>
    <t>celery</t>
  </si>
  <si>
    <t>celeriac</t>
  </si>
  <si>
    <t>Coconuts</t>
  </si>
  <si>
    <t>Micro Coriander</t>
  </si>
  <si>
    <t>coriander</t>
  </si>
  <si>
    <t>Baby Corn</t>
  </si>
  <si>
    <t xml:space="preserve">corn </t>
  </si>
  <si>
    <t>cornflowers</t>
  </si>
  <si>
    <t>cos baby hearts</t>
  </si>
  <si>
    <t>cosberg</t>
  </si>
  <si>
    <t>baby cos</t>
  </si>
  <si>
    <t>Crunchy Combo Sprouts</t>
  </si>
  <si>
    <t>cucumbers continental</t>
  </si>
  <si>
    <t>bag</t>
  </si>
  <si>
    <t>cucumbers lebanese</t>
  </si>
  <si>
    <t xml:space="preserve">kg </t>
  </si>
  <si>
    <t>cucumbers baby Qukes</t>
  </si>
  <si>
    <t>Curry Leaves</t>
  </si>
  <si>
    <t>70g</t>
  </si>
  <si>
    <t>Dates</t>
  </si>
  <si>
    <t>Daikon Radish</t>
  </si>
  <si>
    <t>dill</t>
  </si>
  <si>
    <t>dragonfruit red</t>
  </si>
  <si>
    <t>eggplant large</t>
  </si>
  <si>
    <t>Eggplant, Lebanese</t>
  </si>
  <si>
    <t>elderberries</t>
  </si>
  <si>
    <t xml:space="preserve">fennel  </t>
  </si>
  <si>
    <t>Baby Fennel</t>
  </si>
  <si>
    <t>figs</t>
  </si>
  <si>
    <t>2kgtray</t>
  </si>
  <si>
    <t>flowers marigold</t>
  </si>
  <si>
    <t>flowers squash</t>
  </si>
  <si>
    <t>CO OP ORGANIC GARLIC</t>
  </si>
  <si>
    <t>Pick &amp; Washed Green Frisee Lettuce</t>
  </si>
  <si>
    <t>1.5Kg</t>
  </si>
  <si>
    <t>Galangal</t>
  </si>
  <si>
    <t>Aussie Garlic</t>
  </si>
  <si>
    <t>Black Garlic</t>
  </si>
  <si>
    <t>Peeled Garlic</t>
  </si>
  <si>
    <t>garlic shoots</t>
  </si>
  <si>
    <t>garlic chives</t>
  </si>
  <si>
    <t>Ruby Grapefruit</t>
  </si>
  <si>
    <t>Young Ginger</t>
  </si>
  <si>
    <t>grapes</t>
  </si>
  <si>
    <t>Grapes, green</t>
  </si>
  <si>
    <t>grape black</t>
  </si>
  <si>
    <t>Red grape tomatoes</t>
  </si>
  <si>
    <t>Micro Red Garnet</t>
  </si>
  <si>
    <t>honeydew melon lge</t>
  </si>
  <si>
    <t>Kiwifruit</t>
  </si>
  <si>
    <t>King Brown Mushrooms</t>
  </si>
  <si>
    <t>Vic St</t>
  </si>
  <si>
    <t>250g</t>
  </si>
  <si>
    <t xml:space="preserve">Aussie shiitake </t>
  </si>
  <si>
    <t>preston M</t>
  </si>
  <si>
    <t>Baby king brown mushrooms</t>
  </si>
  <si>
    <t>Kohlrabi</t>
  </si>
  <si>
    <t>Baby Leek</t>
  </si>
  <si>
    <t>leeks large</t>
  </si>
  <si>
    <t>Micro Lemon Balm</t>
  </si>
  <si>
    <t>lemons</t>
  </si>
  <si>
    <t>lemons meyer</t>
  </si>
  <si>
    <t>lemongrass</t>
  </si>
  <si>
    <t>lemon verbena</t>
  </si>
  <si>
    <t>lettuce green oak</t>
  </si>
  <si>
    <t>lettuce iceberg</t>
  </si>
  <si>
    <t>lettuce baby iceberg</t>
  </si>
  <si>
    <t>Baby Cos</t>
  </si>
  <si>
    <t>pkt</t>
  </si>
  <si>
    <t>lettuce cos loose</t>
  </si>
  <si>
    <t>lettuce cos hearts</t>
  </si>
  <si>
    <t>lettuce butter/ mignonette</t>
  </si>
  <si>
    <t>lettuce chard leaves</t>
  </si>
  <si>
    <t>lettuce red elk</t>
  </si>
  <si>
    <t>Lime Leaves</t>
  </si>
  <si>
    <t>limes tahitian cheap for marm</t>
  </si>
  <si>
    <t>limes tahitian</t>
  </si>
  <si>
    <t>limes finger</t>
  </si>
  <si>
    <t>Lambstongue Mache</t>
  </si>
  <si>
    <t>mandarins</t>
  </si>
  <si>
    <t>Mango Large</t>
  </si>
  <si>
    <t>each</t>
  </si>
  <si>
    <t>Mangoes 2nds</t>
  </si>
  <si>
    <t>Mangoes green</t>
  </si>
  <si>
    <t>marigold flowers</t>
  </si>
  <si>
    <t>Marjoram</t>
  </si>
  <si>
    <t>mesclun</t>
  </si>
  <si>
    <t>2kg</t>
  </si>
  <si>
    <t>V Mint</t>
  </si>
  <si>
    <t>mint</t>
  </si>
  <si>
    <t>Mizuna</t>
  </si>
  <si>
    <t>mushrooms pine</t>
  </si>
  <si>
    <t>mushrooms slippery jack</t>
  </si>
  <si>
    <t>mushrooms foraged fancy special</t>
  </si>
  <si>
    <t>button mushrooms</t>
  </si>
  <si>
    <t>swiss brown mushrooms</t>
  </si>
  <si>
    <t>Oyster Mushrooms</t>
  </si>
  <si>
    <t>mushrooms shimeji</t>
  </si>
  <si>
    <t>Black Fungi Mushrooms</t>
  </si>
  <si>
    <t>Enoki Mushrooms</t>
  </si>
  <si>
    <t>Shiitake Mushrooms</t>
  </si>
  <si>
    <t>mushrooms swiss flats</t>
  </si>
  <si>
    <t>3kg box</t>
  </si>
  <si>
    <t>Nastursium Flowers</t>
  </si>
  <si>
    <t>Nastursium leaves</t>
  </si>
  <si>
    <t>nectarines</t>
  </si>
  <si>
    <t>Okra</t>
  </si>
  <si>
    <t>Pickling / brown Onions</t>
  </si>
  <si>
    <t>White Onions</t>
  </si>
  <si>
    <t>red onions</t>
  </si>
  <si>
    <t>spring onions</t>
  </si>
  <si>
    <t xml:space="preserve">oranges  </t>
  </si>
  <si>
    <t>Blood Oranges</t>
  </si>
  <si>
    <t>Pandan Leaves</t>
  </si>
  <si>
    <t>40g</t>
  </si>
  <si>
    <t>pansies</t>
  </si>
  <si>
    <t>Green Papaya</t>
  </si>
  <si>
    <t>Parsley</t>
  </si>
  <si>
    <t>Curly Parsley</t>
  </si>
  <si>
    <t>BCH</t>
  </si>
  <si>
    <t>Micro parsley</t>
  </si>
  <si>
    <t>Parsnips</t>
  </si>
  <si>
    <t>Passionfruit</t>
  </si>
  <si>
    <t>Paw Paw</t>
  </si>
  <si>
    <t>peaches yellow</t>
  </si>
  <si>
    <t xml:space="preserve">peaches white </t>
  </si>
  <si>
    <t>beurre bosc Pears</t>
  </si>
  <si>
    <t xml:space="preserve"> Pears pakham</t>
  </si>
  <si>
    <t>pears William med</t>
  </si>
  <si>
    <t>Red Sensation Pears</t>
  </si>
  <si>
    <t>peas</t>
  </si>
  <si>
    <t>Premium Pineapple</t>
  </si>
  <si>
    <t>plums ruby blood</t>
  </si>
  <si>
    <t xml:space="preserve">plums    </t>
  </si>
  <si>
    <t>Pomegranate</t>
  </si>
  <si>
    <t>Baby Kipfler Potatoes</t>
  </si>
  <si>
    <t>Kipfler Potatoes</t>
  </si>
  <si>
    <t>10Kg</t>
  </si>
  <si>
    <t>Potato, Blue chipper</t>
  </si>
  <si>
    <t>Pink crimson Potatoes</t>
  </si>
  <si>
    <t>Royal blue potatoes</t>
  </si>
  <si>
    <t>purple sweet potatoes -white flesh</t>
  </si>
  <si>
    <t>pumpkin japanese</t>
  </si>
  <si>
    <t>Pumpkin Butter</t>
  </si>
  <si>
    <t>Radicchio Lettuce</t>
  </si>
  <si>
    <t>Quince</t>
  </si>
  <si>
    <t>Breakfast Radish</t>
  </si>
  <si>
    <t>Radish</t>
  </si>
  <si>
    <t>rapini</t>
  </si>
  <si>
    <t>Raspberries</t>
  </si>
  <si>
    <t>Radish baby assorted</t>
  </si>
  <si>
    <t>Rhubarb bunch</t>
  </si>
  <si>
    <t>Rocket</t>
  </si>
  <si>
    <t>rockmelon large</t>
  </si>
  <si>
    <t>rosemary</t>
  </si>
  <si>
    <t>sage</t>
  </si>
  <si>
    <t>Salt Bush</t>
  </si>
  <si>
    <t>swiss chard coloured</t>
  </si>
  <si>
    <t>Shallots Gold</t>
  </si>
  <si>
    <t>Micro Red Shiso</t>
  </si>
  <si>
    <t>red bunch sorrel Coolibah</t>
  </si>
  <si>
    <t>Sorrel</t>
  </si>
  <si>
    <t>Red  Sorrel punnets</t>
  </si>
  <si>
    <t>Snow Pea Sprouts</t>
  </si>
  <si>
    <t>snow pea tendrils</t>
  </si>
  <si>
    <t>spinach baby</t>
  </si>
  <si>
    <t>Strawberries</t>
  </si>
  <si>
    <t>Silverbeet</t>
  </si>
  <si>
    <t>Strawberries Jumbo pun</t>
  </si>
  <si>
    <t>large Strawberries</t>
  </si>
  <si>
    <t>Sugar Snap Peas</t>
  </si>
  <si>
    <t>snow peas</t>
  </si>
  <si>
    <t xml:space="preserve">Sweet pots </t>
  </si>
  <si>
    <t>Tarragon</t>
  </si>
  <si>
    <t>Taro Root</t>
  </si>
  <si>
    <t>Tatsoi</t>
  </si>
  <si>
    <t>Micro Snow Pea Tendrils</t>
  </si>
  <si>
    <t>thyme</t>
  </si>
  <si>
    <t>Kumato Tomatoes punn</t>
  </si>
  <si>
    <t>cherry Tomatoes</t>
  </si>
  <si>
    <t>Organic Saucing Tomatoes</t>
  </si>
  <si>
    <t>Box</t>
  </si>
  <si>
    <t>cherry heirloom</t>
  </si>
  <si>
    <t>tomatoes roma</t>
  </si>
  <si>
    <t>tomatoes mini kumato</t>
  </si>
  <si>
    <t>cherry toms on vine</t>
  </si>
  <si>
    <t>tomatoes heirloom</t>
  </si>
  <si>
    <t>Tomato Green</t>
  </si>
  <si>
    <t xml:space="preserve">box </t>
  </si>
  <si>
    <t>toms slicing</t>
  </si>
  <si>
    <t>tomatoes cooking</t>
  </si>
  <si>
    <t>turnips juvenile</t>
  </si>
  <si>
    <t>warrigal greens</t>
  </si>
  <si>
    <t>Watercress</t>
  </si>
  <si>
    <t>300g PNT</t>
  </si>
  <si>
    <t>Baby Watercress</t>
  </si>
  <si>
    <t>watermelon red</t>
  </si>
  <si>
    <t>watermelon yellow</t>
  </si>
  <si>
    <t>Witlof</t>
  </si>
  <si>
    <t>Red Witlof</t>
  </si>
  <si>
    <t>winter purslane</t>
  </si>
  <si>
    <t xml:space="preserve">yuzu   </t>
  </si>
  <si>
    <t xml:space="preserve">zucchini   </t>
  </si>
  <si>
    <t>box 10kg</t>
  </si>
  <si>
    <t>Zucchini</t>
  </si>
  <si>
    <t>Zucchini Flowers</t>
  </si>
  <si>
    <t>zucchini heirloom</t>
  </si>
  <si>
    <t>lebanese zucchini/white zucchini</t>
  </si>
  <si>
    <t>zucchini baby</t>
  </si>
  <si>
    <t>bay leaves</t>
  </si>
  <si>
    <t>apples peeled and cored</t>
  </si>
  <si>
    <t>broccoli florets</t>
  </si>
  <si>
    <t>SAJ</t>
  </si>
  <si>
    <t>cauliflower florettes</t>
  </si>
  <si>
    <t>pumpkin dice</t>
  </si>
  <si>
    <t>Peeled pumpkin</t>
  </si>
  <si>
    <t>peeled carrots handpeeled</t>
  </si>
  <si>
    <t>peeled shallot</t>
  </si>
  <si>
    <t>peeled potato desiree</t>
  </si>
  <si>
    <t>10kg bag</t>
  </si>
  <si>
    <t>peeled onions</t>
  </si>
  <si>
    <t>pastie dice</t>
  </si>
  <si>
    <t>sweet potato dice</t>
  </si>
  <si>
    <t>fine sliced cabbage/coleslaw</t>
  </si>
  <si>
    <t>sliced tomato</t>
  </si>
  <si>
    <t>wedge tomato</t>
  </si>
  <si>
    <t>sliced red onion</t>
  </si>
  <si>
    <t>sliced brown onion</t>
  </si>
  <si>
    <t>carrot julienne</t>
  </si>
  <si>
    <t>carrot baton</t>
  </si>
  <si>
    <t>beetroot julienne</t>
  </si>
  <si>
    <t>lettuce shredded</t>
  </si>
  <si>
    <t>oranges peeled</t>
  </si>
  <si>
    <t>Muscatels</t>
  </si>
  <si>
    <t>10kg</t>
    <phoneticPr fontId="4"/>
  </si>
  <si>
    <t>potato dice</t>
  </si>
  <si>
    <t>wakame</t>
  </si>
  <si>
    <t xml:space="preserve">Jun Pacific </t>
  </si>
  <si>
    <t>soy beans</t>
  </si>
  <si>
    <t>kishimen noodles</t>
  </si>
  <si>
    <t>soba noodles dried</t>
  </si>
  <si>
    <t xml:space="preserve">Hakubaku soba </t>
  </si>
  <si>
    <t>BIDVEST/ petty</t>
  </si>
  <si>
    <t>Hakubaku Ramen</t>
  </si>
  <si>
    <t>frozen udon</t>
  </si>
  <si>
    <t>40p/1 box</t>
  </si>
  <si>
    <t>frozen soba</t>
  </si>
  <si>
    <t xml:space="preserve">sake </t>
  </si>
  <si>
    <t>mirin</t>
  </si>
  <si>
    <t>vinegar uchibori su</t>
  </si>
  <si>
    <t>soy sauce blue box</t>
  </si>
  <si>
    <t>soy sauce red box GF</t>
  </si>
  <si>
    <t>usukuchi soy</t>
  </si>
  <si>
    <t>white sesame</t>
  </si>
  <si>
    <t>black sesame</t>
  </si>
  <si>
    <t>panko</t>
  </si>
  <si>
    <t>sesame oil</t>
  </si>
  <si>
    <t>yuzu koshu</t>
  </si>
  <si>
    <t>nice yuzu kosho</t>
  </si>
  <si>
    <t>tofu</t>
  </si>
  <si>
    <t>white miso</t>
  </si>
  <si>
    <t>red miso</t>
  </si>
  <si>
    <t>lotus root</t>
  </si>
  <si>
    <t>ponzu</t>
  </si>
  <si>
    <t>shichimi togarashi</t>
  </si>
  <si>
    <t>Shiso yukari rice topping</t>
  </si>
  <si>
    <t>shio koji</t>
  </si>
  <si>
    <t>ao nori</t>
  </si>
  <si>
    <t>Furikake Katsuo</t>
  </si>
  <si>
    <t>Kenko" Plain Mayonnaise</t>
  </si>
  <si>
    <t>GF mayo</t>
  </si>
  <si>
    <t>tamari</t>
  </si>
  <si>
    <t>kinako</t>
  </si>
  <si>
    <t>mustard</t>
  </si>
  <si>
    <t>wasabi</t>
  </si>
  <si>
    <t>kuzu</t>
  </si>
  <si>
    <t xml:space="preserve"> "Ninben" Ekijo Katsuobushidashi PET</t>
  </si>
  <si>
    <t>beni shoga</t>
  </si>
  <si>
    <t>pink ginger</t>
  </si>
  <si>
    <t>Mixed veg pickled (Fukujin)</t>
    <phoneticPr fontId="4"/>
  </si>
  <si>
    <t>red pickle cucumber (shiba)</t>
  </si>
  <si>
    <t>shredded nori kizami</t>
  </si>
  <si>
    <t>kappazuke</t>
  </si>
  <si>
    <t>yakiniku sauce</t>
  </si>
  <si>
    <t>kombu  Japanese</t>
  </si>
  <si>
    <t>sansai mountain veg</t>
  </si>
  <si>
    <t>Takana pickled mustard leaf</t>
  </si>
  <si>
    <t xml:space="preserve">rice  akitakomachi </t>
  </si>
  <si>
    <t>Jun frozen taro</t>
  </si>
  <si>
    <t>abura age fried cut beancurd</t>
  </si>
  <si>
    <t>frozen burdock/gobo</t>
  </si>
  <si>
    <t>tinned bamboo shoot menma</t>
  </si>
  <si>
    <t>chopsticks 100 pack</t>
  </si>
  <si>
    <t>dried shiitake</t>
  </si>
  <si>
    <t>bulldog tonkatsu</t>
  </si>
  <si>
    <t>bulldog worcesteshire</t>
  </si>
  <si>
    <t>bulldog okonomiyaki</t>
  </si>
  <si>
    <t>Yuzu Syoyu Dressing (KENKO)</t>
  </si>
  <si>
    <t>1 Bottle</t>
  </si>
  <si>
    <t>Yuzu Non oil dressing ( Ikari)</t>
  </si>
  <si>
    <t>Curry flake gravy mix mild hot</t>
  </si>
  <si>
    <t>matcha</t>
  </si>
  <si>
    <t>umeboshi</t>
  </si>
  <si>
    <t>kimchee sauce</t>
  </si>
  <si>
    <t>AGAVE syrup</t>
  </si>
  <si>
    <t>allspice whole</t>
  </si>
  <si>
    <t>NSM</t>
  </si>
  <si>
    <t>allspice ground (pimento</t>
  </si>
  <si>
    <t>almond slivered / split</t>
  </si>
  <si>
    <t>almonds blanched</t>
  </si>
  <si>
    <t>almonds flaked</t>
  </si>
  <si>
    <t>almond meal</t>
  </si>
  <si>
    <t>almonds spread</t>
  </si>
  <si>
    <t xml:space="preserve">almond raw </t>
  </si>
  <si>
    <t>apple dried</t>
  </si>
  <si>
    <t>Apricots Aussie box</t>
  </si>
  <si>
    <t>apricots Turkish A grade</t>
  </si>
  <si>
    <t>baharat</t>
  </si>
  <si>
    <t>barberries</t>
  </si>
  <si>
    <t>barley black</t>
  </si>
  <si>
    <t>barley pearled</t>
  </si>
  <si>
    <t>blueberries dried</t>
  </si>
  <si>
    <t>black tahini</t>
  </si>
  <si>
    <t>black turtle beans</t>
  </si>
  <si>
    <t>borlotti bean</t>
  </si>
  <si>
    <t>burghal coarse</t>
  </si>
  <si>
    <t>cannelini beans</t>
  </si>
  <si>
    <t>caraway seeds</t>
  </si>
  <si>
    <t>cardamom pods</t>
  </si>
  <si>
    <t>cashews broken</t>
  </si>
  <si>
    <t>cashews raw 180</t>
  </si>
  <si>
    <t>cayenne pepper</t>
  </si>
  <si>
    <t>cashews raw 240</t>
  </si>
  <si>
    <t>cashews raw 320</t>
  </si>
  <si>
    <t>chermoula</t>
  </si>
  <si>
    <t>cherry sour dried</t>
  </si>
  <si>
    <t>chia black</t>
  </si>
  <si>
    <t>chia white</t>
  </si>
  <si>
    <t>cinnamon ground</t>
  </si>
  <si>
    <t>cinnamon quills</t>
  </si>
  <si>
    <t>cloves whole</t>
  </si>
  <si>
    <t>cloves ground</t>
  </si>
  <si>
    <t>coconut sugar</t>
  </si>
  <si>
    <t>coconut cubes</t>
  </si>
  <si>
    <t>coconut oil</t>
  </si>
  <si>
    <t>coriander ground</t>
  </si>
  <si>
    <t>coriander seeds</t>
  </si>
  <si>
    <t>cumin ground</t>
  </si>
  <si>
    <t>cumin seeds</t>
  </si>
  <si>
    <t>coconut flour</t>
  </si>
  <si>
    <t>coconut dessicated</t>
  </si>
  <si>
    <t>cranberries</t>
  </si>
  <si>
    <t>currants AUS</t>
  </si>
  <si>
    <t>currants Greek</t>
  </si>
  <si>
    <t>date molasses</t>
  </si>
  <si>
    <t>date pitted</t>
  </si>
  <si>
    <t>mahlab ground</t>
  </si>
  <si>
    <t>vanilla pods</t>
  </si>
  <si>
    <t>orange extract</t>
  </si>
  <si>
    <t>vanilla extract with seeds</t>
  </si>
  <si>
    <t>fennel seed</t>
  </si>
  <si>
    <t>fenugreek seeds</t>
  </si>
  <si>
    <t>figs sliced</t>
  </si>
  <si>
    <t>figs wild</t>
  </si>
  <si>
    <t>goji berries</t>
  </si>
  <si>
    <t>haricot (navy) beans</t>
  </si>
  <si>
    <t>hazelnut meal</t>
  </si>
  <si>
    <t>hazelnut raw</t>
  </si>
  <si>
    <t xml:space="preserve">hazelnuts roasted </t>
  </si>
  <si>
    <t>lemon myrtle</t>
  </si>
  <si>
    <t>lemons preserved</t>
  </si>
  <si>
    <t>lentils mt byron</t>
  </si>
  <si>
    <t>macadamias broken</t>
  </si>
  <si>
    <t>macadamias whole</t>
  </si>
  <si>
    <t>mustard seed brown</t>
  </si>
  <si>
    <t>mint, dried</t>
  </si>
  <si>
    <t>mixed peel (orange etc)</t>
  </si>
  <si>
    <t>muscatels on vine</t>
  </si>
  <si>
    <t>nigella seeds</t>
  </si>
  <si>
    <t>paprika smoked</t>
  </si>
  <si>
    <t>paprika sweet</t>
  </si>
  <si>
    <t>peanuts blanch</t>
  </si>
  <si>
    <t>pecan 1/2 and pieces</t>
  </si>
  <si>
    <t>peppercorns black</t>
  </si>
  <si>
    <t>peppercorns white</t>
  </si>
  <si>
    <t>quinoa flakes</t>
  </si>
  <si>
    <t>quinoa flour</t>
  </si>
  <si>
    <t>quinoa black</t>
  </si>
  <si>
    <t>quinoa red</t>
  </si>
  <si>
    <t>peaches SA</t>
  </si>
  <si>
    <t>pinenuts turkish</t>
  </si>
  <si>
    <t>pinto beans</t>
  </si>
  <si>
    <t>pistachio iran kernel</t>
  </si>
  <si>
    <t>pistachio pieces</t>
  </si>
  <si>
    <t>pistachio slivers</t>
  </si>
  <si>
    <t>polenta fine</t>
  </si>
  <si>
    <t>pomegranate seeds</t>
  </si>
  <si>
    <t>popping corn</t>
  </si>
  <si>
    <t>potato starch flour</t>
  </si>
  <si>
    <t>prunes box</t>
  </si>
  <si>
    <t>prunes pitted</t>
  </si>
  <si>
    <t>pretzels</t>
  </si>
  <si>
    <t>puffed amaranth</t>
  </si>
  <si>
    <t>puffed brown rice</t>
  </si>
  <si>
    <t>puffed buckwheat</t>
  </si>
  <si>
    <t>puffed millet</t>
  </si>
  <si>
    <t>puffed quinoa</t>
  </si>
  <si>
    <t>puffed rice white</t>
  </si>
  <si>
    <t>Pumpkin seeds</t>
  </si>
  <si>
    <t>raisins crimson</t>
  </si>
  <si>
    <t>raisins golden</t>
  </si>
  <si>
    <t>raisins AUS</t>
  </si>
  <si>
    <t>verjus</t>
  </si>
  <si>
    <t>july</t>
  </si>
  <si>
    <t>rice flour</t>
  </si>
  <si>
    <t>roasted buckwheat</t>
  </si>
  <si>
    <t>rock salt</t>
  </si>
  <si>
    <t>rolled oats</t>
  </si>
  <si>
    <t>semolina</t>
  </si>
  <si>
    <t>soya beans</t>
  </si>
  <si>
    <t>spread ABC</t>
  </si>
  <si>
    <t>spread almond</t>
  </si>
  <si>
    <t>star anise</t>
  </si>
  <si>
    <t>sultanas Aust</t>
  </si>
  <si>
    <t>Candied fruits</t>
  </si>
  <si>
    <t>Bottega 1995</t>
  </si>
  <si>
    <t>6kg/Box</t>
  </si>
  <si>
    <t>j New</t>
  </si>
  <si>
    <t>sumac</t>
  </si>
  <si>
    <t>sunflower seed</t>
  </si>
  <si>
    <t>nutmeg whole</t>
  </si>
  <si>
    <t>NUTMEG GROUND</t>
  </si>
  <si>
    <t>sorghum flour</t>
  </si>
  <si>
    <t>hemp seeds</t>
  </si>
  <si>
    <t>biodynamic brown rice</t>
  </si>
  <si>
    <t>walnuts chopped USA</t>
  </si>
  <si>
    <t>walnuts AUS</t>
  </si>
  <si>
    <t>rice cracker mix</t>
  </si>
  <si>
    <t>wasabi broad beans</t>
  </si>
  <si>
    <t>salted broad beans</t>
  </si>
  <si>
    <t>wasabi peas</t>
  </si>
  <si>
    <t>tamari almonds</t>
  </si>
  <si>
    <t>cheesy corn</t>
  </si>
  <si>
    <t>12kg</t>
  </si>
  <si>
    <t>turmeric</t>
  </si>
  <si>
    <t>HUDSON</t>
  </si>
  <si>
    <t>GARLIC POWDER 1kg</t>
  </si>
  <si>
    <t>SESAME SEEDS 15kg HULLED</t>
  </si>
  <si>
    <t>SUNFLOWER KERNELS 15kg</t>
  </si>
  <si>
    <t>MUSTARD SEED yellow</t>
  </si>
  <si>
    <t>JUNIPER BERRIES 1 Kg</t>
  </si>
  <si>
    <t>Paprika sweet</t>
  </si>
  <si>
    <t>GINGER GROUND</t>
  </si>
  <si>
    <t>CELERY SEED</t>
  </si>
  <si>
    <t>EST</t>
  </si>
  <si>
    <t>tapioca seeds</t>
  </si>
  <si>
    <t>Teff</t>
  </si>
  <si>
    <t>turkish delight rose</t>
  </si>
  <si>
    <t>vinegar apple cider</t>
  </si>
  <si>
    <t>vinegar champagne</t>
  </si>
  <si>
    <t>vinegar red wine cheap</t>
  </si>
  <si>
    <t>zatar mix</t>
  </si>
  <si>
    <t xml:space="preserve">Spelt flour </t>
  </si>
  <si>
    <t>Pink Lake Fine Salt tubes ea</t>
  </si>
  <si>
    <t>Mt Zero</t>
  </si>
  <si>
    <t>Pink Lake Fine Salt</t>
  </si>
  <si>
    <t>Picholine Olives (green)</t>
  </si>
  <si>
    <t>mixed olives</t>
  </si>
  <si>
    <t xml:space="preserve">dry cured salted kalamata </t>
  </si>
  <si>
    <t>olive jam</t>
  </si>
  <si>
    <t>organic pitted half kalamata olives</t>
  </si>
  <si>
    <t>2024  EVOO</t>
  </si>
  <si>
    <t>pitted hardy green mammoth</t>
  </si>
  <si>
    <t>pearled farro</t>
  </si>
  <si>
    <t>haricot beans</t>
  </si>
  <si>
    <t>chickpea flour</t>
  </si>
  <si>
    <t>millet</t>
  </si>
  <si>
    <t>freekeh wholegrain</t>
  </si>
  <si>
    <t>chickpeas</t>
  </si>
  <si>
    <t>red sorghum</t>
  </si>
  <si>
    <t>Puy lentil</t>
  </si>
  <si>
    <t>persian red lentil</t>
  </si>
  <si>
    <t>beluga black lentil</t>
  </si>
  <si>
    <t>persian red lentils</t>
  </si>
  <si>
    <t>cracked farro</t>
  </si>
  <si>
    <t>pearl barley</t>
  </si>
  <si>
    <t>sorghum</t>
  </si>
  <si>
    <t>cracked freekeh</t>
  </si>
  <si>
    <t>pomegranate molasses</t>
  </si>
  <si>
    <t>Bas foods</t>
  </si>
  <si>
    <t>harina pan</t>
  </si>
  <si>
    <t>Casa</t>
  </si>
  <si>
    <t>arepa</t>
  </si>
  <si>
    <t>oaxahaca cheese</t>
  </si>
  <si>
    <t>nopalitos</t>
  </si>
  <si>
    <t>flour tortillas 6 inch</t>
  </si>
  <si>
    <t>palm hearts</t>
  </si>
  <si>
    <t>chestnuts flour</t>
  </si>
  <si>
    <t>corn tortillas</t>
  </si>
  <si>
    <t>mexican oregano</t>
  </si>
  <si>
    <t>Carolina mustard</t>
  </si>
  <si>
    <t>hominy</t>
  </si>
  <si>
    <t xml:space="preserve">Casa </t>
  </si>
  <si>
    <t>tomatillo</t>
  </si>
  <si>
    <t>nutritional yeast</t>
  </si>
  <si>
    <t>Bragg seasoning (soy protein)</t>
  </si>
  <si>
    <t>rice paper</t>
  </si>
  <si>
    <t>piedis</t>
  </si>
  <si>
    <t>vego fish sauce</t>
  </si>
  <si>
    <t>palm sugar</t>
  </si>
  <si>
    <t>fish sauce bulk 4.55 megachef</t>
  </si>
  <si>
    <t>curry sauce/ stirfry sauce bulk</t>
  </si>
  <si>
    <t>vegan fish sauce bulk</t>
  </si>
  <si>
    <t>vegan black pepper sauce bulk</t>
  </si>
  <si>
    <t>GF soy megachef bulk</t>
  </si>
  <si>
    <t>soy bean Healthy Boy bottle</t>
  </si>
  <si>
    <t>oyster sauce megachef bulk</t>
  </si>
  <si>
    <t>;'</t>
  </si>
  <si>
    <t>rice vinegar</t>
  </si>
  <si>
    <t>coconut vinegar</t>
  </si>
  <si>
    <t>chianking vinegar</t>
  </si>
  <si>
    <t>red vinegar</t>
  </si>
  <si>
    <t>real prawn cracker</t>
  </si>
  <si>
    <t>shao sing</t>
  </si>
  <si>
    <t>GF soy Megachef</t>
  </si>
  <si>
    <t>light soy LKK</t>
  </si>
  <si>
    <t>dark soy LKK</t>
  </si>
  <si>
    <t xml:space="preserve">Kejap manis GF </t>
  </si>
  <si>
    <t>Hoi Sin GF</t>
  </si>
  <si>
    <t>tapioca flour</t>
  </si>
  <si>
    <t>glutinous rice flour</t>
  </si>
  <si>
    <t>mother in law chilli</t>
  </si>
  <si>
    <t>bean vermicilli</t>
  </si>
  <si>
    <t>salted radish</t>
  </si>
  <si>
    <t>spicy chilli green</t>
  </si>
  <si>
    <t>tamarind</t>
  </si>
  <si>
    <t>gula melaka crushed</t>
  </si>
  <si>
    <t/>
  </si>
  <si>
    <t>healthy boy light soy</t>
  </si>
  <si>
    <t>frozen coconut</t>
  </si>
  <si>
    <t>red chilli dried</t>
  </si>
  <si>
    <t>roti frozen</t>
  </si>
  <si>
    <t>Malabar paratha</t>
  </si>
  <si>
    <t>MKS</t>
  </si>
  <si>
    <t>lime pickle</t>
  </si>
  <si>
    <t>candlenuts</t>
  </si>
  <si>
    <t>tofu Duc Nga fried squares</t>
  </si>
  <si>
    <t>curry paste malay</t>
  </si>
  <si>
    <t>curry paste Mae Ploy</t>
  </si>
  <si>
    <t>crispy prawn chilli</t>
  </si>
  <si>
    <t>suimi yai cai</t>
  </si>
  <si>
    <t>rice cakes</t>
  </si>
  <si>
    <t>bao</t>
  </si>
  <si>
    <t>30pc</t>
  </si>
  <si>
    <t>tofu tube</t>
  </si>
  <si>
    <t>fresh rice noodles</t>
  </si>
  <si>
    <t>krupuk crackers</t>
  </si>
  <si>
    <t>lime leaves</t>
  </si>
  <si>
    <t>pearl mushrooms</t>
  </si>
  <si>
    <t>chilli poblano</t>
  </si>
  <si>
    <t>coconut juice</t>
  </si>
  <si>
    <t>green mangoes</t>
  </si>
  <si>
    <t>green papaya</t>
  </si>
  <si>
    <t>K town korean soys</t>
  </si>
  <si>
    <t>shungiku</t>
  </si>
  <si>
    <t>chinese celery</t>
  </si>
  <si>
    <t>banana chips</t>
  </si>
  <si>
    <t>black rice</t>
  </si>
  <si>
    <t>Linghams chilli</t>
  </si>
  <si>
    <t>Tamarind chilli sauce</t>
  </si>
  <si>
    <t>Mango Pickled jar</t>
  </si>
  <si>
    <t>hinoki/petty</t>
  </si>
  <si>
    <t>good miso</t>
  </si>
  <si>
    <t>lotus root fine slice</t>
  </si>
  <si>
    <t xml:space="preserve">natto </t>
  </si>
  <si>
    <t>vegan mayo</t>
  </si>
  <si>
    <t>vegan mayo temporary rip off size</t>
  </si>
  <si>
    <t>blue pea flowers</t>
  </si>
  <si>
    <t>hibiscus</t>
  </si>
  <si>
    <t>charcoal crackers</t>
  </si>
  <si>
    <t>asterisk kitchen</t>
  </si>
  <si>
    <t>mini grissini</t>
  </si>
  <si>
    <t>probiotics for fermenting</t>
  </si>
  <si>
    <t>Wild Things</t>
  </si>
  <si>
    <t xml:space="preserve">honey </t>
  </si>
  <si>
    <t>Mike Love/ justice</t>
  </si>
  <si>
    <t>JAR honey</t>
  </si>
  <si>
    <t>Rob's bad bees</t>
  </si>
  <si>
    <t>3kg</t>
    <phoneticPr fontId="4"/>
  </si>
  <si>
    <t xml:space="preserve">raspberries </t>
  </si>
  <si>
    <t>Sennberry</t>
  </si>
  <si>
    <t>strawberries</t>
  </si>
  <si>
    <t xml:space="preserve">Bimbimbi farm </t>
  </si>
  <si>
    <t>walkerwood jerk</t>
  </si>
  <si>
    <t>cartel &amp; Co</t>
  </si>
  <si>
    <t>Pick a pepper sauce</t>
  </si>
  <si>
    <t>12 x 8pack</t>
  </si>
  <si>
    <t>Frankies fine brine manhattan pickles</t>
  </si>
  <si>
    <t>19L</t>
  </si>
  <si>
    <t>Maple syrup</t>
  </si>
  <si>
    <t>6x 1L</t>
  </si>
  <si>
    <t>Maple drum</t>
  </si>
  <si>
    <t>18.9</t>
  </si>
  <si>
    <t>vegan egg replace</t>
  </si>
  <si>
    <t>30g x22pc</t>
  </si>
  <si>
    <t>Coney Island mustard</t>
  </si>
  <si>
    <t xml:space="preserve">FEAST ON THIS </t>
  </si>
  <si>
    <t>3.9kg</t>
  </si>
  <si>
    <t>French's yellow mustard</t>
  </si>
  <si>
    <t>Old Bay spice</t>
  </si>
  <si>
    <t>Head country BBQ sauce</t>
  </si>
  <si>
    <t>3.8L</t>
  </si>
  <si>
    <t>Aust superfoods</t>
  </si>
  <si>
    <t>maarr lemongrass</t>
  </si>
  <si>
    <t>samples</t>
  </si>
  <si>
    <t>rosella FD</t>
  </si>
  <si>
    <t>Wattleseed FD</t>
  </si>
  <si>
    <t>lemon juice Market Juice</t>
  </si>
  <si>
    <t>Market juice</t>
  </si>
  <si>
    <t>market juice 300ml</t>
  </si>
  <si>
    <t>lemon verbena dried</t>
  </si>
  <si>
    <t>Aust rainforest tea</t>
  </si>
  <si>
    <t>porcini paste tin</t>
  </si>
  <si>
    <t>truffle paste jar</t>
  </si>
  <si>
    <t>giardiniera  ( Pickled Veg ) tin</t>
  </si>
  <si>
    <t>Barrel sauerkraut</t>
  </si>
  <si>
    <t>810g</t>
  </si>
  <si>
    <t>White polenta Moretti (&amp;yellow polenta)</t>
  </si>
  <si>
    <t>enoteca sileno</t>
  </si>
  <si>
    <t>buckwheat polenta Moretti</t>
  </si>
  <si>
    <t>rice flour Ferron</t>
  </si>
  <si>
    <t>taccozette</t>
  </si>
  <si>
    <t>catering penne</t>
  </si>
  <si>
    <t>orrechiette</t>
  </si>
  <si>
    <t>Penne pasta Rustichella 1kg</t>
  </si>
  <si>
    <t xml:space="preserve">GF gnocchi </t>
  </si>
  <si>
    <t>GF rigatoncini catering</t>
  </si>
  <si>
    <t>cassareccia pasta</t>
  </si>
  <si>
    <t>bucatini</t>
  </si>
  <si>
    <t xml:space="preserve">Rigatoncini 500g </t>
  </si>
  <si>
    <t>same category before?</t>
  </si>
  <si>
    <t xml:space="preserve">tartufata </t>
  </si>
  <si>
    <t>vincotto plain</t>
  </si>
  <si>
    <t>vincotto fig</t>
  </si>
  <si>
    <t>vincotto lemon (1 big =3 little)</t>
  </si>
  <si>
    <t>mustard fruits large tin</t>
  </si>
  <si>
    <t>truffle salsa</t>
  </si>
  <si>
    <t>sicilian salt fine</t>
  </si>
  <si>
    <t>sicilian salt coarse</t>
  </si>
  <si>
    <t>balsamic bordeaux</t>
  </si>
  <si>
    <t>fregolone</t>
  </si>
  <si>
    <t>gnocchetti</t>
  </si>
  <si>
    <t>balsamic bulk</t>
  </si>
  <si>
    <t>anchovy fillets in oil 720g tin</t>
    <phoneticPr fontId="4"/>
  </si>
  <si>
    <t>amarena cherries</t>
  </si>
  <si>
    <t>orange fillets</t>
  </si>
  <si>
    <t>cedro</t>
  </si>
  <si>
    <t>raspberry FD</t>
  </si>
  <si>
    <t xml:space="preserve"> Inspired</t>
  </si>
  <si>
    <t>30's</t>
  </si>
  <si>
    <t>mandarin  FD</t>
  </si>
  <si>
    <t>horseradish FD</t>
  </si>
  <si>
    <t>chipotle powder</t>
  </si>
  <si>
    <t>Inspired</t>
  </si>
  <si>
    <t>ancho powder</t>
  </si>
  <si>
    <t>guajillo chillies</t>
  </si>
  <si>
    <t>áncho chillies</t>
  </si>
  <si>
    <t>black garlic</t>
  </si>
  <si>
    <t>strawberry FD</t>
  </si>
  <si>
    <t>FD custard powder</t>
  </si>
  <si>
    <t>FD riberries</t>
  </si>
  <si>
    <t>FD kakadu plum</t>
  </si>
  <si>
    <t>mini cones La rose Noire</t>
  </si>
  <si>
    <t>Premier</t>
  </si>
  <si>
    <t>Beetroot powder</t>
  </si>
  <si>
    <t>Blood orange powder</t>
  </si>
  <si>
    <t>pineapple FD</t>
  </si>
  <si>
    <t>strawberry powder</t>
  </si>
  <si>
    <t>Mango Sliced Freeze dried</t>
  </si>
  <si>
    <t>Apricot Sliced Freeze dried</t>
  </si>
  <si>
    <t>Lychee whole Freeze dried</t>
  </si>
  <si>
    <t>Young Coconut Flesh  Freeze dried</t>
  </si>
  <si>
    <t>Natural Yogurt Freeze dried</t>
  </si>
  <si>
    <t>Dehydrated Olive soil powder Black</t>
  </si>
  <si>
    <t>Apple Cider from Normandy</t>
  </si>
  <si>
    <t>Red wine Vinegar</t>
  </si>
  <si>
    <t>White wine Vinegar</t>
  </si>
  <si>
    <t>Crbernet Sauvignon wine Vinegar</t>
  </si>
  <si>
    <t>a not used</t>
  </si>
  <si>
    <t>Fattorie Giacobazzi(Balsamic)</t>
  </si>
  <si>
    <t>essential ingredient</t>
  </si>
  <si>
    <t>FD dill pickles</t>
  </si>
  <si>
    <t>FD kimchi</t>
  </si>
  <si>
    <t>Freeze Dried Pineapple Chunks 100g</t>
  </si>
  <si>
    <t>Freeze Dried Coconut Yogurt 150g </t>
  </si>
  <si>
    <t>Freeze Dried Mango Pieces 100g </t>
  </si>
  <si>
    <t>Freeze Dried Black Garlic Powder 100g</t>
  </si>
  <si>
    <t>agar balls</t>
  </si>
  <si>
    <t>edible confetti</t>
  </si>
  <si>
    <t> Citric Acid 300g </t>
  </si>
  <si>
    <t>dried chillies</t>
  </si>
  <si>
    <t>aged balsamic</t>
  </si>
  <si>
    <t>Mustard German</t>
  </si>
  <si>
    <t>Dijon mustard Simon johnson</t>
  </si>
  <si>
    <t>black garlic vin</t>
  </si>
  <si>
    <t>banyuls vin</t>
  </si>
  <si>
    <t>Malt Orkney vin</t>
  </si>
  <si>
    <t>MALOUF Jordanian Zaatar</t>
  </si>
  <si>
    <t>capers lilliput</t>
  </si>
  <si>
    <t xml:space="preserve"> Orange blossom El Rabih</t>
  </si>
  <si>
    <t>chestnuts cryo</t>
  </si>
  <si>
    <t>malouf green harissa</t>
  </si>
  <si>
    <t>malouf red harissa</t>
  </si>
  <si>
    <t>malouf chermoula</t>
  </si>
  <si>
    <t>flageleot beans</t>
  </si>
  <si>
    <t>pomegranate molasses El Rabih</t>
  </si>
  <si>
    <t>tamarind syrup El Rabih</t>
  </si>
  <si>
    <t>mustard oil Yandilla</t>
  </si>
  <si>
    <t>Malouf preserved lemon</t>
  </si>
  <si>
    <t>muslin cloth</t>
  </si>
  <si>
    <t xml:space="preserve">Murray River salt flakes </t>
  </si>
  <si>
    <t>crystallised ginger</t>
  </si>
  <si>
    <t>essential/Coles</t>
  </si>
  <si>
    <t>hail sugar</t>
  </si>
  <si>
    <t>CREATIVE</t>
  </si>
  <si>
    <t>snow sugar</t>
  </si>
  <si>
    <t>mace ground</t>
  </si>
  <si>
    <t>lemon zest</t>
  </si>
  <si>
    <t>mint paste</t>
  </si>
  <si>
    <t>vegan cake mix</t>
  </si>
  <si>
    <t>sottobosco soaking syrup</t>
  </si>
  <si>
    <t>limoncello 70%</t>
  </si>
  <si>
    <t>beet chips</t>
  </si>
  <si>
    <t>Isigny butter</t>
  </si>
  <si>
    <t>Eustralis</t>
  </si>
  <si>
    <t>agar powder</t>
  </si>
  <si>
    <t>premier</t>
  </si>
  <si>
    <t>white balsamic</t>
  </si>
  <si>
    <t>Hudson</t>
  </si>
  <si>
    <t>silica beds</t>
  </si>
  <si>
    <t>xanthan gum</t>
  </si>
  <si>
    <t>oblato paper</t>
  </si>
  <si>
    <t>GGH</t>
  </si>
  <si>
    <t>VALRHONA cocoa</t>
  </si>
  <si>
    <t>CALENDAR</t>
  </si>
  <si>
    <t>blinis</t>
  </si>
  <si>
    <t>DESHEL/ Eustralis</t>
  </si>
  <si>
    <t>brik pastry</t>
  </si>
  <si>
    <t>glasses 120ml</t>
  </si>
  <si>
    <t>glasses 180ml</t>
  </si>
  <si>
    <t>dried porcini</t>
  </si>
  <si>
    <t>porcini powder</t>
  </si>
  <si>
    <t>coconut flakes Freeze dried</t>
  </si>
  <si>
    <t>FA mango slices</t>
  </si>
  <si>
    <t>FA mandarin FD</t>
  </si>
  <si>
    <t>FA blood orange slice</t>
  </si>
  <si>
    <t>FA liquorice FD</t>
  </si>
  <si>
    <t>FA manuka FD</t>
  </si>
  <si>
    <t>FA beet powder</t>
  </si>
  <si>
    <t>dulce de leche powder</t>
  </si>
  <si>
    <t>yuzu flakes</t>
  </si>
  <si>
    <t>dextrose</t>
  </si>
  <si>
    <t>yuzu aroma</t>
  </si>
  <si>
    <t>Sosa smoke powder</t>
  </si>
  <si>
    <t>boiron puree orange</t>
  </si>
  <si>
    <t>boiron puree lemon</t>
  </si>
  <si>
    <t>boiron mandarin concentrate</t>
  </si>
  <si>
    <t xml:space="preserve">tart shells choc mini round </t>
  </si>
  <si>
    <t>tart shells sweet  large round</t>
  </si>
  <si>
    <t>tart shells sweet mini round</t>
  </si>
  <si>
    <t xml:space="preserve">GF tart shells savoury mini round </t>
  </si>
  <si>
    <t>GF tart shells sweet mini</t>
  </si>
  <si>
    <t>GF tart shells sweet large round</t>
  </si>
  <si>
    <t>72pp</t>
  </si>
  <si>
    <t xml:space="preserve">tart shells savoury medium square </t>
  </si>
  <si>
    <t>tart shells savoury rectangle mini</t>
  </si>
  <si>
    <t xml:space="preserve">Butter portions </t>
  </si>
  <si>
    <t>Frozen chanterelles</t>
  </si>
  <si>
    <t>madiera</t>
  </si>
  <si>
    <t>calvados</t>
  </si>
  <si>
    <t>armagnac</t>
  </si>
  <si>
    <t>pear william</t>
  </si>
  <si>
    <t>rum</t>
  </si>
  <si>
    <t>bulk rum</t>
  </si>
  <si>
    <t>bulk brandy</t>
  </si>
  <si>
    <t>raspberry alcohol</t>
  </si>
  <si>
    <t>frozen crepes</t>
  </si>
  <si>
    <t>50pc</t>
  </si>
  <si>
    <t>chestnut puree</t>
  </si>
  <si>
    <t>FD  plum</t>
  </si>
  <si>
    <t>FD cherry</t>
  </si>
  <si>
    <t>FD blackberry</t>
  </si>
  <si>
    <t>Vanilla essence</t>
  </si>
  <si>
    <t xml:space="preserve">Chocolate Weiss dark Galaxie </t>
  </si>
  <si>
    <t>chocolate weiss white Nevea</t>
  </si>
  <si>
    <t>chocolate Weiss milk madalait</t>
  </si>
  <si>
    <t>Chocolate Weiss dark SO Ceiba</t>
  </si>
  <si>
    <t>Chocolate Weiss dark SO Lichu</t>
  </si>
  <si>
    <t>Chocolate Weiss milk caramel</t>
  </si>
  <si>
    <t>Chocolate Weiss guinduja</t>
  </si>
  <si>
    <t>chocolate snobinette</t>
  </si>
  <si>
    <t>chocolate sticks</t>
  </si>
  <si>
    <t>chocolate transfer sheets</t>
  </si>
  <si>
    <t>chocolate shavings</t>
  </si>
  <si>
    <t xml:space="preserve">chocolate Veliche </t>
  </si>
  <si>
    <t>cocoa powder</t>
  </si>
  <si>
    <t>Boiron calamansi puree</t>
  </si>
  <si>
    <t>boiron mandarin puree</t>
  </si>
  <si>
    <t>boiron blood orange puree</t>
  </si>
  <si>
    <t>boiron banana</t>
  </si>
  <si>
    <t>boiron morello cherry</t>
  </si>
  <si>
    <t>boiron whole chestnuts</t>
  </si>
  <si>
    <t>boiron apricot</t>
  </si>
  <si>
    <t>boiron blood peach</t>
  </si>
  <si>
    <t>boiron white peach</t>
  </si>
  <si>
    <t>boiron lychee</t>
  </si>
  <si>
    <t>boiron passionfruit</t>
  </si>
  <si>
    <t>boiron watermelon</t>
  </si>
  <si>
    <t>boiron lime</t>
  </si>
  <si>
    <t>boiron guava</t>
  </si>
  <si>
    <t>boiron raspberry</t>
  </si>
  <si>
    <t>boiron green apple</t>
  </si>
  <si>
    <t>Weiss cocoa nibs</t>
  </si>
  <si>
    <t>mirror glaze</t>
  </si>
  <si>
    <t>gelatin gold</t>
  </si>
  <si>
    <t>SOSA wet crispy strawberry</t>
  </si>
  <si>
    <t>SOSA wetproof crispy mango</t>
  </si>
  <si>
    <t>Sosa Trehalose</t>
  </si>
  <si>
    <t>sosa proespuma cold</t>
  </si>
  <si>
    <t>Sosa invert sugar</t>
  </si>
  <si>
    <t>sosa pectin NH</t>
  </si>
  <si>
    <t>Pectin 1kg</t>
  </si>
  <si>
    <t>espellette</t>
  </si>
  <si>
    <t>white choc Michel Cluziel</t>
  </si>
  <si>
    <t>repertoire culinaire</t>
  </si>
  <si>
    <t>charcoal tartlets</t>
  </si>
  <si>
    <t>banana puree</t>
  </si>
  <si>
    <t>red shiny powder</t>
  </si>
  <si>
    <t>Coopers stout</t>
  </si>
  <si>
    <t xml:space="preserve">amaretto </t>
  </si>
  <si>
    <t>chocolate alcohol</t>
  </si>
  <si>
    <t>petty</t>
  </si>
  <si>
    <t>pernod</t>
  </si>
  <si>
    <t>vermouth</t>
  </si>
  <si>
    <t>kahlua</t>
  </si>
  <si>
    <t>veal mix</t>
  </si>
  <si>
    <t>muscat</t>
  </si>
  <si>
    <t>tawny port</t>
  </si>
  <si>
    <t>whisky</t>
  </si>
  <si>
    <t>havana rum</t>
  </si>
  <si>
    <t xml:space="preserve">bake boss assorted cake deco </t>
  </si>
  <si>
    <t>bake boss crisco</t>
  </si>
  <si>
    <t>stout</t>
  </si>
  <si>
    <t>GF stout</t>
  </si>
  <si>
    <t>GF loaves</t>
  </si>
  <si>
    <t>GF precinct</t>
  </si>
  <si>
    <t>GF wraps</t>
  </si>
  <si>
    <t>VEGAN FAKE MEAT AND DAIRY</t>
  </si>
  <si>
    <t>the plant pantry</t>
  </si>
  <si>
    <t>vegan sausages</t>
  </si>
  <si>
    <t>vegan Impossible burger patties</t>
  </si>
  <si>
    <t>BIDVEST</t>
  </si>
  <si>
    <t>V2 vegan burger patties</t>
  </si>
  <si>
    <t>vegan Impossible mince</t>
  </si>
  <si>
    <t>callebaut cocoa</t>
  </si>
  <si>
    <t>sweet pot chips</t>
  </si>
  <si>
    <t>hash brown triangles</t>
  </si>
  <si>
    <t>frozen passionfruit</t>
  </si>
  <si>
    <t>frozen chips</t>
  </si>
  <si>
    <t>tomato kasoundi</t>
  </si>
  <si>
    <t>hot apple chutney</t>
  </si>
  <si>
    <t>felafels wombat valley</t>
  </si>
  <si>
    <t>felafels findus</t>
  </si>
  <si>
    <t>greek artichoke bottoms</t>
  </si>
  <si>
    <t>frozen broad beans</t>
  </si>
  <si>
    <t>frozen chestnuts</t>
  </si>
  <si>
    <t>frozen avo</t>
  </si>
  <si>
    <t>butter beans little tin</t>
  </si>
  <si>
    <t>day dots</t>
  </si>
  <si>
    <t>white wine</t>
  </si>
  <si>
    <t>red wine</t>
  </si>
  <si>
    <t>korma paste</t>
  </si>
  <si>
    <t>tandoori paste</t>
  </si>
  <si>
    <t>butter beans A10</t>
  </si>
  <si>
    <t>mustard dijon</t>
  </si>
  <si>
    <t>mustard wholegrain</t>
  </si>
  <si>
    <t>saffron</t>
  </si>
  <si>
    <t>10g</t>
  </si>
  <si>
    <t>EVOO</t>
  </si>
  <si>
    <t>gelatine sheets</t>
  </si>
  <si>
    <t>cryovac bags 190 x300</t>
  </si>
  <si>
    <t>10/1 box</t>
  </si>
  <si>
    <t>cryovac bags 210 x400</t>
  </si>
  <si>
    <t>crovac bags 300 x 350</t>
  </si>
  <si>
    <t>trolley cover</t>
  </si>
  <si>
    <t>REWARD</t>
  </si>
  <si>
    <t>slap sheet small</t>
  </si>
  <si>
    <t>slap sheet large</t>
  </si>
  <si>
    <t>glad go between ralls ( using for fruits platter)</t>
  </si>
  <si>
    <t>Pack Wear</t>
  </si>
  <si>
    <t>6/1box</t>
  </si>
  <si>
    <t>Cryovac 300 x 600</t>
  </si>
  <si>
    <t>Collinsons</t>
  </si>
  <si>
    <t>5/1 box</t>
  </si>
  <si>
    <t>cryovac  400 x 450</t>
  </si>
  <si>
    <t>cryovac 165 x 225</t>
  </si>
  <si>
    <t>cryovac 500 x 250</t>
  </si>
  <si>
    <t>cryovac 150 x 185</t>
  </si>
  <si>
    <t>20/1 box</t>
  </si>
  <si>
    <t>cryovac 150 x 250</t>
  </si>
  <si>
    <t>cryovac  190 X 250</t>
  </si>
  <si>
    <t>COOKERS</t>
  </si>
  <si>
    <t>canola</t>
  </si>
  <si>
    <t>FLAN GEL NEUTRAL HADEJA 12.5kg</t>
  </si>
  <si>
    <t>BAKING POWDER 1kg</t>
  </si>
  <si>
    <t>bicarb</t>
  </si>
  <si>
    <t>cream of tartar</t>
  </si>
  <si>
    <t>citric acid</t>
  </si>
  <si>
    <t>choc white gems</t>
  </si>
  <si>
    <t>Chocolate Tuscany Cadbury</t>
  </si>
  <si>
    <t>Vanilla imitation</t>
  </si>
  <si>
    <t>2l</t>
  </si>
  <si>
    <t>COCONUT SHREDDED 1kg</t>
  </si>
  <si>
    <t>COCONUT CREAM 1lt (12) (KARA)</t>
  </si>
  <si>
    <t xml:space="preserve"> CHICK PEA A10</t>
  </si>
  <si>
    <t>FLOUR   SR</t>
  </si>
  <si>
    <t>flour ultra white</t>
  </si>
  <si>
    <t>glycerine</t>
  </si>
  <si>
    <t>GF crumb</t>
  </si>
  <si>
    <t>gf flour</t>
  </si>
  <si>
    <t>GF SR flour</t>
  </si>
  <si>
    <t>GF biscuit mix premium</t>
  </si>
  <si>
    <t>cherries dark A10</t>
  </si>
  <si>
    <t>APRICOT tin</t>
  </si>
  <si>
    <t>825g</t>
  </si>
  <si>
    <t>pineapple tin</t>
  </si>
  <si>
    <t>FONDANT ICING RTR Pettinice</t>
  </si>
  <si>
    <t>CITRUS PEEL MIXED 1kg</t>
  </si>
  <si>
    <t>DATES PITTED 1kg</t>
  </si>
  <si>
    <t>MUSCATEL CLUSTERS 4Kg</t>
  </si>
  <si>
    <t>apple juice</t>
  </si>
  <si>
    <t>RAISINS SEEDLESS MEDIUM 12.5k</t>
  </si>
  <si>
    <t>@APPLE JUICE 2lt (6)</t>
  </si>
  <si>
    <t xml:space="preserve">hONEY WARRAL </t>
  </si>
  <si>
    <t>3kg</t>
  </si>
  <si>
    <t>MILK POWDERfull cream 25kg</t>
  </si>
  <si>
    <t>OATS ROLLED 25kg</t>
  </si>
  <si>
    <t>OIL PEANUT 2Lt (GROUNDNUT) (6)</t>
  </si>
  <si>
    <t>OIL VEG BLENDED 20lt</t>
  </si>
  <si>
    <t>@REAL EASE SPRAY 450gm (12)</t>
  </si>
  <si>
    <t>OLIVES GREEN PITTED QUEEN 4K(2</t>
  </si>
  <si>
    <t>ORECCHIETTE BARESI #86 500g(24</t>
  </si>
  <si>
    <t>RISONI (ROSMARINO) #70 500g(24</t>
  </si>
  <si>
    <t>riso cerruti</t>
  </si>
  <si>
    <t>moghrabieh - large couscous</t>
  </si>
  <si>
    <t>rigatone</t>
  </si>
  <si>
    <t>macaroni bulk san remo</t>
  </si>
  <si>
    <t>SALT FLOSSY IODISED 20kg</t>
  </si>
  <si>
    <t xml:space="preserve">salt murray river </t>
  </si>
  <si>
    <t>SAUCE CHILLI SRIRACHA740ML(12)</t>
  </si>
  <si>
    <t>sauce worcestershire</t>
  </si>
  <si>
    <t>SAUCE SWEET CHILLI 2lt (4)</t>
  </si>
  <si>
    <t>SAUCE BBQ carolina</t>
  </si>
  <si>
    <t>sauce HP</t>
  </si>
  <si>
    <t xml:space="preserve">TUNA IN BRINE </t>
  </si>
  <si>
    <t>425g</t>
  </si>
  <si>
    <t>TUNA IN pouch</t>
  </si>
  <si>
    <t>PEANUT BUTTER CRUNCHY 2kg (4)</t>
  </si>
  <si>
    <t>VEGEMITE</t>
  </si>
  <si>
    <t>SUGAR BROWN 15kg</t>
  </si>
  <si>
    <t>SUGAR ICINGpure 500g</t>
  </si>
  <si>
    <t>SUGAR RAW</t>
  </si>
  <si>
    <t>GOLDEN SYRUP</t>
  </si>
  <si>
    <t>MAPLE SYRUP</t>
  </si>
  <si>
    <t>TOMATO CRUSHED  POUCH 5X3Kg</t>
  </si>
  <si>
    <t>ARTICHOKE HEARTS BRINE 2.5k(6)</t>
  </si>
  <si>
    <t>Grilled Artichoke</t>
  </si>
  <si>
    <t>BEETROOT DICED 3kg (3)</t>
  </si>
  <si>
    <t>DILL CUCUMBERS 2kg (6)</t>
  </si>
  <si>
    <t>CRISPS 45g x 18</t>
  </si>
  <si>
    <t>SAUERKRAUT 9.7kg</t>
  </si>
  <si>
    <t>BLACK BEANS A10</t>
  </si>
  <si>
    <t>BID</t>
  </si>
  <si>
    <t>GIARDINIERA 2kg (6)</t>
  </si>
  <si>
    <t>VINEGAR MALT 2lt (6)</t>
  </si>
  <si>
    <t>VINEGAR SHERRY</t>
  </si>
  <si>
    <t>VINEGAR RED WINE</t>
  </si>
  <si>
    <t>CREAMER GAS BULBS 10s (40)</t>
  </si>
  <si>
    <t>BAG G/PROOF BROWN 2 SQUARE(500</t>
  </si>
  <si>
    <t>BAGS PAPER BROWN 4 SQRE (500)</t>
  </si>
  <si>
    <t>BBs MUFFIN PAPERS #700 (500)</t>
  </si>
  <si>
    <t>@RINSE AID 5lt (4)</t>
  </si>
  <si>
    <t>FLOOR CLEANER LEMON 5lt (2)</t>
  </si>
  <si>
    <t>DETERGENT SUPER GREEN 20lt</t>
  </si>
  <si>
    <t>@WIPES BLUE H/DUTY30x50x45(4)</t>
  </si>
  <si>
    <t>SCOURER STAINLESS STEEL 6pk(8)</t>
  </si>
  <si>
    <t>SCOURER'N SPONGE H/DGREEN 12pk</t>
  </si>
  <si>
    <t>WIPES YELLOW H/D TORK 30cmx45m</t>
  </si>
  <si>
    <t>FOIL EXTRA H/DUTY 150x44cm (4)</t>
  </si>
  <si>
    <t>foil trays</t>
  </si>
  <si>
    <t>Gloves kitchenhand</t>
  </si>
  <si>
    <t>HAND TOWEL I/LEAV U/SLIM 2400s</t>
  </si>
  <si>
    <t>PARCHMENT MUFFIN MOULDS PC60R</t>
  </si>
  <si>
    <t>G/PROOF PAPER  1/4</t>
  </si>
  <si>
    <t>container plasdene rounds lids</t>
  </si>
  <si>
    <t>PLASDENE</t>
  </si>
  <si>
    <t>container plasdene  lids</t>
  </si>
  <si>
    <t>BIODEGRADEABLE CLING WRAP</t>
  </si>
  <si>
    <t>TOOTHPICK DOUBLE ENDED 1000(12</t>
  </si>
  <si>
    <t>BUTTER UNSALTED 20kg</t>
  </si>
  <si>
    <t>CHEESE FETTA 13kg BULGARIAN</t>
  </si>
  <si>
    <t>CHEESE FETTA DANISH 4Kg (3)</t>
  </si>
  <si>
    <t>CHEESE MEXI BLEND 1kg</t>
  </si>
  <si>
    <t>HUDSON/ BID</t>
  </si>
  <si>
    <t>@CHEESE CREAM 2kg (6)</t>
  </si>
  <si>
    <t>@CHEESE SLICES SWISS 1kg (10)</t>
  </si>
  <si>
    <t>cheese parmesan shredded</t>
  </si>
  <si>
    <t>BID/HUD</t>
  </si>
  <si>
    <t>Tip top bread</t>
  </si>
  <si>
    <t>CHEESE PROVOLONE FRESH 1kg (6)</t>
  </si>
  <si>
    <t>@CREME FRAICHE GASTRO 1.5L (6)</t>
  </si>
  <si>
    <t>VEGAN MAYO</t>
  </si>
  <si>
    <t>arti bucket</t>
  </si>
  <si>
    <t>nuttelex</t>
  </si>
  <si>
    <t>antipasto buckets</t>
  </si>
  <si>
    <t>RELISH TOMATO 2.4kg (4)</t>
  </si>
  <si>
    <t>PICKLE GREEN TOMATO 2.4kg (2</t>
  </si>
  <si>
    <t>HORSERADISH HORLEINS</t>
  </si>
  <si>
    <t>condence milk</t>
  </si>
  <si>
    <t>pizza base bo</t>
  </si>
  <si>
    <t>@BLACKBERRIES 1kg FROZEN IQF(1</t>
  </si>
  <si>
    <t>CRANBERRIES  1kg FZN IQF (10</t>
  </si>
  <si>
    <t>MANGO DICED 1kg FZN IQF (10</t>
  </si>
  <si>
    <t>FROZ egg yolk</t>
  </si>
  <si>
    <t>5 bags</t>
  </si>
  <si>
    <t>SPINACH TORTILLA FLOUR 12" 12pk (6)</t>
  </si>
  <si>
    <t xml:space="preserve">WELL &amp; GOOD FROZ LOAF box 4 </t>
  </si>
  <si>
    <t>Acai froz</t>
  </si>
  <si>
    <t>Beet felafels</t>
  </si>
  <si>
    <t>sweet potato croquettes</t>
  </si>
  <si>
    <t>Martin's potato rolls long</t>
  </si>
  <si>
    <t>vegan puff</t>
  </si>
  <si>
    <t>vegan chicken</t>
  </si>
  <si>
    <t>GF shells</t>
  </si>
  <si>
    <t>frozen banana</t>
  </si>
  <si>
    <t>pomegranate arils</t>
  </si>
  <si>
    <t>@SPINACH LEAF 2kg (6)</t>
  </si>
  <si>
    <t>WRAP TORT.PLAIN G/F 10" 12s(6</t>
  </si>
  <si>
    <t>this page</t>
  </si>
  <si>
    <t>stocktake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</si>
</sst>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7" formatCode="&quot;$&quot;#,##0.00;\-&quot;$&quot;#,##0.00"/>
    <numFmt numFmtId="44" formatCode="_-&quot;$&quot;* #,##0.00_-;\-&quot;$&quot;* #,##0.00_-;_-&quot;$&quot;* &quot;-&quot;??_-;_-@_-"/>
    <numFmt numFmtId="43" formatCode="_-* #,##0.00_-;\-* #,##0.00_-;_-* &quot;-&quot;??_-;_-@_-"/>
    <numFmt numFmtId="164" formatCode="\Te\x\t"/>
    <numFmt numFmtId="165" formatCode="_-&quot;$&quot;* #,##0.00_-;\-&quot;$&quot;* #,##0.00_-;_-&quot;$&quot;* &quot;-&quot;??_-;_-@"/>
    <numFmt numFmtId="166" formatCode="d/m/yyyy"/>
    <numFmt numFmtId="167" formatCode="&quot; &quot;&quot;$&quot;* #,##0.00&quot; &quot;;&quot;-&quot;&quot;$&quot;* #,##0.00&quot; &quot;;&quot; &quot;&quot;$&quot;* &quot;-&quot;??&quot; &quot;"/>
    <numFmt numFmtId="168" formatCode="0.000"/>
    <numFmt numFmtId="169" formatCode="&quot;T&quot;yyyy&quot;xt&quot;"/>
  </numFmts>
  <fonts count="2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Calibri"/>
      <family val="2"/>
    </font>
    <font>
      <sz val="11"/>
      <color indexed="1"/>
      <name val="Calibri"/>
      <family val="2"/>
    </font>
    <font>
      <sz val="11"/>
      <color rgb="FF000000"/>
      <name val="Calibri"/>
      <family val="2"/>
    </font>
    <font>
      <sz val="18"/>
      <name val="Calibri"/>
      <family val="2"/>
    </font>
    <font>
      <sz val="20"/>
      <name val="Calibri"/>
      <family val="2"/>
    </font>
    <font>
      <b/>
      <sz val="16"/>
      <color rgb="FF000000"/>
      <name val="Calibri"/>
      <family val="2"/>
    </font>
    <font>
      <b/>
      <sz val="11"/>
      <color rgb="FF000000"/>
      <name val="Calibri"/>
      <family val="2"/>
    </font>
    <font>
      <sz val="18"/>
      <color rgb="FF000000"/>
      <name val="Calibri"/>
      <family val="2"/>
    </font>
    <font>
      <b/>
      <sz val="20"/>
      <color rgb="FF000000"/>
      <name val="Calibri"/>
      <family val="2"/>
    </font>
    <font>
      <sz val="20"/>
      <color rgb="FF000000"/>
      <name val="Calibri"/>
      <family val="2"/>
    </font>
    <font>
      <b/>
      <sz val="18"/>
      <color rgb="FF000000"/>
      <name val="Calibri"/>
      <family val="2"/>
    </font>
    <font>
      <b/>
      <sz val="12"/>
      <color rgb="FF000000"/>
      <name val="Calibri"/>
      <family val="2"/>
    </font>
    <font>
      <b/>
      <sz val="18"/>
      <color rgb="FF0070C0"/>
      <name val="Calibri"/>
      <family val="2"/>
    </font>
    <font>
      <b/>
      <sz val="24"/>
      <color rgb="FF000000"/>
      <name val="Calibri"/>
      <family val="2"/>
    </font>
    <font>
      <sz val="12"/>
      <color rgb="FF000000"/>
      <name val="Calibri"/>
      <family val="2"/>
    </font>
    <font>
      <sz val="14"/>
      <color rgb="FF000000"/>
      <name val="Calibri"/>
      <family val="2"/>
    </font>
    <font>
      <b/>
      <sz val="18"/>
      <color theme="1"/>
      <name val="Calibri"/>
      <family val="2"/>
    </font>
    <font>
      <sz val="28"/>
      <color rgb="FF000000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sz val="11"/>
      <name val="Aptos Narrow"/>
      <family val="2"/>
      <scheme val="minor"/>
    </font>
    <font>
      <sz val="12"/>
      <name val="Calibri"/>
      <family val="2"/>
    </font>
    <font>
      <sz val="10"/>
      <name val="Verdana"/>
      <family val="2"/>
    </font>
    <font>
      <sz val="8"/>
      <name val="Verdana"/>
      <family val="2"/>
    </font>
    <font>
      <b/>
      <sz val="15"/>
      <name val="Segoe UI Bold"/>
      <charset val="1"/>
    </font>
    <font>
      <sz val="1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theme="6" tint="0.59999389629810485"/>
        <bgColor indexed="65"/>
      </patternFill>
    </fill>
    <fill>
      <patternFill patternType="solid">
        <fgColor indexed="2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rgb="FFD9D9D9"/>
      </patternFill>
    </fill>
    <fill>
      <patternFill patternType="solid">
        <fgColor theme="0"/>
        <bgColor rgb="FFF4CCCC"/>
      </patternFill>
    </fill>
    <fill>
      <patternFill patternType="solid">
        <fgColor rgb="FFF4CCCC"/>
        <bgColor rgb="FFF4CCCC"/>
      </patternFill>
    </fill>
    <fill>
      <patternFill patternType="solid">
        <fgColor rgb="FFD6AFAA"/>
        <bgColor indexed="64"/>
      </patternFill>
    </fill>
    <fill>
      <patternFill patternType="solid">
        <fgColor theme="0" tint="-0.14999847407452621"/>
        <bgColor rgb="FF434343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/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/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/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/>
      <right style="thick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/>
      <top style="thin">
        <color rgb="FF000000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auto="1"/>
      </top>
      <bottom style="thin">
        <color auto="1"/>
      </bottom>
      <diagonal/>
    </border>
    <border>
      <left style="thick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/>
      <top/>
      <bottom style="thick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" fillId="2" borderId="0" applyNumberFormat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4" fillId="0" borderId="0"/>
    <xf numFmtId="0" fontId="20" fillId="0" borderId="0" applyNumberFormat="0" applyFill="0" applyBorder="0" applyProtection="0"/>
  </cellStyleXfs>
  <cellXfs count="234">
    <xf numFmtId="0" fontId="0" fillId="0" borderId="0" xfId="0"/>
    <xf numFmtId="164" fontId="3" fillId="3" borderId="0" xfId="2" applyNumberFormat="1" applyFont="1" applyFill="1"/>
    <xf numFmtId="44" fontId="3" fillId="3" borderId="0" xfId="3" applyFont="1" applyFill="1"/>
    <xf numFmtId="43" fontId="3" fillId="3" borderId="0" xfId="4" applyFont="1" applyFill="1"/>
    <xf numFmtId="0" fontId="2" fillId="0" borderId="0" xfId="2"/>
    <xf numFmtId="164" fontId="2" fillId="0" borderId="0" xfId="2" applyNumberFormat="1"/>
    <xf numFmtId="164" fontId="2" fillId="4" borderId="0" xfId="2" applyNumberFormat="1" applyFill="1"/>
    <xf numFmtId="0" fontId="2" fillId="4" borderId="0" xfId="2" applyFill="1"/>
    <xf numFmtId="164" fontId="2" fillId="0" borderId="1" xfId="2" applyNumberFormat="1" applyBorder="1"/>
    <xf numFmtId="44" fontId="0" fillId="0" borderId="1" xfId="3" applyFont="1" applyBorder="1"/>
    <xf numFmtId="43" fontId="0" fillId="0" borderId="1" xfId="4" applyFont="1" applyBorder="1"/>
    <xf numFmtId="164" fontId="2" fillId="4" borderId="1" xfId="2" applyNumberFormat="1" applyFill="1" applyBorder="1"/>
    <xf numFmtId="0" fontId="1" fillId="2" borderId="1" xfId="1" applyBorder="1"/>
    <xf numFmtId="44" fontId="1" fillId="2" borderId="1" xfId="3" applyFont="1" applyFill="1" applyBorder="1"/>
    <xf numFmtId="43" fontId="1" fillId="2" borderId="1" xfId="4" applyFont="1" applyFill="1" applyBorder="1"/>
    <xf numFmtId="0" fontId="1" fillId="5" borderId="1" xfId="1" applyFill="1" applyBorder="1"/>
    <xf numFmtId="44" fontId="1" fillId="5" borderId="1" xfId="3" applyFont="1" applyFill="1" applyBorder="1"/>
    <xf numFmtId="43" fontId="1" fillId="5" borderId="1" xfId="4" applyFont="1" applyFill="1" applyBorder="1"/>
    <xf numFmtId="0" fontId="2" fillId="5" borderId="0" xfId="2" applyFill="1"/>
    <xf numFmtId="0" fontId="2" fillId="6" borderId="1" xfId="2" applyFill="1" applyBorder="1"/>
    <xf numFmtId="0" fontId="2" fillId="6" borderId="0" xfId="2" applyFill="1"/>
    <xf numFmtId="44" fontId="0" fillId="6" borderId="1" xfId="3" applyFont="1" applyFill="1" applyBorder="1"/>
    <xf numFmtId="43" fontId="0" fillId="6" borderId="1" xfId="4" applyFont="1" applyFill="1" applyBorder="1"/>
    <xf numFmtId="44" fontId="1" fillId="6" borderId="1" xfId="3" applyFont="1" applyFill="1" applyBorder="1"/>
    <xf numFmtId="0" fontId="1" fillId="6" borderId="1" xfId="1" applyFill="1" applyBorder="1"/>
    <xf numFmtId="43" fontId="1" fillId="6" borderId="1" xfId="4" applyFont="1" applyFill="1" applyBorder="1"/>
    <xf numFmtId="0" fontId="1" fillId="6" borderId="0" xfId="1" applyFill="1" applyBorder="1"/>
    <xf numFmtId="44" fontId="0" fillId="6" borderId="0" xfId="3" applyFont="1" applyFill="1" applyBorder="1"/>
    <xf numFmtId="43" fontId="0" fillId="6" borderId="0" xfId="4" applyFont="1" applyFill="1" applyBorder="1"/>
    <xf numFmtId="44" fontId="1" fillId="6" borderId="0" xfId="3" applyFont="1" applyFill="1" applyBorder="1"/>
    <xf numFmtId="44" fontId="0" fillId="0" borderId="0" xfId="3" applyFont="1"/>
    <xf numFmtId="43" fontId="0" fillId="0" borderId="0" xfId="4" applyFont="1"/>
    <xf numFmtId="44" fontId="2" fillId="0" borderId="0" xfId="2" applyNumberFormat="1"/>
    <xf numFmtId="0" fontId="5" fillId="0" borderId="0" xfId="5" applyFont="1"/>
    <xf numFmtId="0" fontId="6" fillId="0" borderId="0" xfId="5" applyFont="1"/>
    <xf numFmtId="0" fontId="7" fillId="0" borderId="0" xfId="5" applyFont="1"/>
    <xf numFmtId="0" fontId="4" fillId="0" borderId="0" xfId="5"/>
    <xf numFmtId="0" fontId="4" fillId="0" borderId="0" xfId="5"/>
    <xf numFmtId="165" fontId="4" fillId="0" borderId="0" xfId="5" applyNumberFormat="1"/>
    <xf numFmtId="0" fontId="4" fillId="0" borderId="0" xfId="5" applyAlignment="1">
      <alignment horizontal="center"/>
    </xf>
    <xf numFmtId="0" fontId="2" fillId="0" borderId="0" xfId="5" applyFont="1"/>
    <xf numFmtId="0" fontId="4" fillId="0" borderId="0" xfId="5" applyAlignment="1">
      <alignment horizontal="center"/>
    </xf>
    <xf numFmtId="165" fontId="4" fillId="0" borderId="0" xfId="5" applyNumberFormat="1" applyAlignment="1">
      <alignment horizontal="center"/>
    </xf>
    <xf numFmtId="0" fontId="8" fillId="0" borderId="0" xfId="5" applyFont="1" applyAlignment="1">
      <alignment horizontal="center"/>
    </xf>
    <xf numFmtId="0" fontId="9" fillId="0" borderId="0" xfId="5" applyFont="1"/>
    <xf numFmtId="0" fontId="10" fillId="0" borderId="0" xfId="5" applyFont="1" applyAlignment="1">
      <alignment horizontal="right"/>
    </xf>
    <xf numFmtId="0" fontId="10" fillId="7" borderId="2" xfId="5" applyFont="1" applyFill="1" applyBorder="1" applyAlignment="1">
      <alignment horizontal="center" vertical="center"/>
    </xf>
    <xf numFmtId="0" fontId="11" fillId="0" borderId="0" xfId="5" applyFont="1"/>
    <xf numFmtId="0" fontId="12" fillId="8" borderId="0" xfId="5" applyFont="1" applyFill="1" applyAlignment="1">
      <alignment horizontal="center" vertical="center"/>
    </xf>
    <xf numFmtId="165" fontId="9" fillId="0" borderId="0" xfId="5" applyNumberFormat="1" applyFont="1"/>
    <xf numFmtId="0" fontId="9" fillId="0" borderId="0" xfId="5" applyFont="1" applyAlignment="1">
      <alignment horizontal="center"/>
    </xf>
    <xf numFmtId="165" fontId="10" fillId="0" borderId="0" xfId="5" applyNumberFormat="1" applyFont="1" applyAlignment="1">
      <alignment horizontal="right"/>
    </xf>
    <xf numFmtId="14" fontId="11" fillId="9" borderId="2" xfId="5" applyNumberFormat="1" applyFont="1" applyFill="1" applyBorder="1" applyAlignment="1">
      <alignment horizontal="center" vertical="center"/>
    </xf>
    <xf numFmtId="166" fontId="11" fillId="0" borderId="0" xfId="5" applyNumberFormat="1" applyFont="1"/>
    <xf numFmtId="0" fontId="13" fillId="0" borderId="0" xfId="5" applyFont="1" applyAlignment="1">
      <alignment horizontal="center" vertical="center"/>
    </xf>
    <xf numFmtId="0" fontId="14" fillId="0" borderId="0" xfId="5" applyFont="1"/>
    <xf numFmtId="165" fontId="9" fillId="0" borderId="0" xfId="5" applyNumberFormat="1" applyFont="1" applyAlignment="1">
      <alignment horizontal="center"/>
    </xf>
    <xf numFmtId="0" fontId="15" fillId="0" borderId="3" xfId="5" applyFont="1" applyBorder="1" applyAlignment="1">
      <alignment horizontal="left" vertical="center"/>
    </xf>
    <xf numFmtId="0" fontId="16" fillId="0" borderId="0" xfId="5" applyFont="1"/>
    <xf numFmtId="0" fontId="12" fillId="0" borderId="0" xfId="5" applyFont="1" applyAlignment="1">
      <alignment vertical="center"/>
    </xf>
    <xf numFmtId="0" fontId="12" fillId="7" borderId="4" xfId="5" applyFont="1" applyFill="1" applyBorder="1" applyAlignment="1">
      <alignment horizontal="center" vertical="center"/>
    </xf>
    <xf numFmtId="0" fontId="12" fillId="7" borderId="4" xfId="5" applyFont="1" applyFill="1" applyBorder="1" applyAlignment="1">
      <alignment horizontal="center" vertical="center" wrapText="1"/>
    </xf>
    <xf numFmtId="165" fontId="12" fillId="7" borderId="5" xfId="5" applyNumberFormat="1" applyFont="1" applyFill="1" applyBorder="1" applyAlignment="1">
      <alignment horizontal="center" vertical="center" wrapText="1"/>
    </xf>
    <xf numFmtId="0" fontId="10" fillId="9" borderId="6" xfId="5" applyFont="1" applyFill="1" applyBorder="1" applyAlignment="1">
      <alignment horizontal="center" vertical="center"/>
    </xf>
    <xf numFmtId="165" fontId="12" fillId="7" borderId="7" xfId="5" applyNumberFormat="1" applyFont="1" applyFill="1" applyBorder="1" applyAlignment="1">
      <alignment horizontal="center" vertical="center"/>
    </xf>
    <xf numFmtId="165" fontId="12" fillId="7" borderId="4" xfId="5" applyNumberFormat="1" applyFont="1" applyFill="1" applyBorder="1" applyAlignment="1">
      <alignment horizontal="center" vertical="center" wrapText="1"/>
    </xf>
    <xf numFmtId="0" fontId="12" fillId="0" borderId="0" xfId="5" applyFont="1" applyAlignment="1">
      <alignment horizontal="center" vertical="center"/>
    </xf>
    <xf numFmtId="0" fontId="12" fillId="9" borderId="2" xfId="5" applyFont="1" applyFill="1" applyBorder="1" applyAlignment="1">
      <alignment horizontal="center" vertical="center"/>
    </xf>
    <xf numFmtId="0" fontId="13" fillId="0" borderId="0" xfId="5" applyFont="1" applyAlignment="1">
      <alignment horizontal="center" vertical="center" wrapText="1"/>
    </xf>
    <xf numFmtId="165" fontId="13" fillId="0" borderId="0" xfId="5" applyNumberFormat="1" applyFont="1" applyAlignment="1">
      <alignment horizontal="center" vertical="center" wrapText="1"/>
    </xf>
    <xf numFmtId="165" fontId="13" fillId="0" borderId="0" xfId="5" applyNumberFormat="1" applyFont="1" applyAlignment="1">
      <alignment horizontal="center" vertical="center"/>
    </xf>
    <xf numFmtId="0" fontId="13" fillId="0" borderId="0" xfId="5" applyFont="1" applyAlignment="1">
      <alignment vertical="center"/>
    </xf>
    <xf numFmtId="0" fontId="10" fillId="8" borderId="0" xfId="5" applyFont="1" applyFill="1" applyAlignment="1">
      <alignment horizontal="center" vertical="center"/>
    </xf>
    <xf numFmtId="0" fontId="17" fillId="0" borderId="0" xfId="5" applyFont="1"/>
    <xf numFmtId="0" fontId="12" fillId="0" borderId="6" xfId="5" applyFont="1" applyBorder="1" applyAlignment="1">
      <alignment horizontal="left" vertical="center"/>
    </xf>
    <xf numFmtId="0" fontId="12" fillId="0" borderId="3" xfId="5" applyFont="1" applyBorder="1" applyAlignment="1">
      <alignment horizontal="left" vertical="center"/>
    </xf>
    <xf numFmtId="0" fontId="12" fillId="8" borderId="8" xfId="5" applyFont="1" applyFill="1" applyBorder="1" applyAlignment="1">
      <alignment horizontal="center" vertical="center"/>
    </xf>
    <xf numFmtId="0" fontId="12" fillId="0" borderId="9" xfId="5" applyFont="1" applyBorder="1" applyAlignment="1">
      <alignment horizontal="left" vertical="center"/>
    </xf>
    <xf numFmtId="165" fontId="12" fillId="0" borderId="0" xfId="5" applyNumberFormat="1" applyFont="1" applyAlignment="1">
      <alignment horizontal="center" vertical="center" wrapText="1"/>
    </xf>
    <xf numFmtId="0" fontId="15" fillId="0" borderId="10" xfId="5" applyFont="1" applyBorder="1" applyAlignment="1">
      <alignment horizontal="left" vertical="center"/>
    </xf>
    <xf numFmtId="0" fontId="2" fillId="0" borderId="8" xfId="5" applyFont="1" applyBorder="1"/>
    <xf numFmtId="0" fontId="2" fillId="0" borderId="11" xfId="5" applyFont="1" applyBorder="1"/>
    <xf numFmtId="0" fontId="10" fillId="0" borderId="0" xfId="5" applyFont="1" applyAlignment="1">
      <alignment horizontal="left" vertical="center"/>
    </xf>
    <xf numFmtId="0" fontId="17" fillId="0" borderId="0" xfId="5" applyFont="1" applyAlignment="1">
      <alignment vertical="center"/>
    </xf>
    <xf numFmtId="0" fontId="9" fillId="7" borderId="12" xfId="5" applyFont="1" applyFill="1" applyBorder="1" applyAlignment="1">
      <alignment vertical="center"/>
    </xf>
    <xf numFmtId="0" fontId="9" fillId="7" borderId="13" xfId="5" applyFont="1" applyFill="1" applyBorder="1" applyAlignment="1">
      <alignment vertical="center"/>
    </xf>
    <xf numFmtId="0" fontId="9" fillId="7" borderId="14" xfId="5" applyFont="1" applyFill="1" applyBorder="1" applyAlignment="1">
      <alignment horizontal="center" vertical="center"/>
    </xf>
    <xf numFmtId="165" fontId="9" fillId="7" borderId="15" xfId="5" applyNumberFormat="1" applyFont="1" applyFill="1" applyBorder="1" applyAlignment="1">
      <alignment horizontal="center" vertical="center"/>
    </xf>
    <xf numFmtId="0" fontId="12" fillId="9" borderId="16" xfId="5" applyFont="1" applyFill="1" applyBorder="1" applyAlignment="1">
      <alignment horizontal="center" vertical="center"/>
    </xf>
    <xf numFmtId="165" fontId="9" fillId="7" borderId="17" xfId="5" applyNumberFormat="1" applyFont="1" applyFill="1" applyBorder="1" applyAlignment="1">
      <alignment vertical="center"/>
    </xf>
    <xf numFmtId="0" fontId="9" fillId="0" borderId="0" xfId="5" applyFont="1" applyAlignment="1">
      <alignment vertical="center"/>
    </xf>
    <xf numFmtId="165" fontId="9" fillId="7" borderId="4" xfId="5" applyNumberFormat="1" applyFont="1" applyFill="1" applyBorder="1" applyAlignment="1">
      <alignment vertical="center"/>
    </xf>
    <xf numFmtId="0" fontId="9" fillId="7" borderId="4" xfId="5" applyFont="1" applyFill="1" applyBorder="1" applyAlignment="1">
      <alignment horizontal="center" vertical="center"/>
    </xf>
    <xf numFmtId="0" fontId="11" fillId="0" borderId="0" xfId="5" applyFont="1" applyAlignment="1">
      <alignment vertical="center"/>
    </xf>
    <xf numFmtId="0" fontId="11" fillId="7" borderId="18" xfId="5" applyFont="1" applyFill="1" applyBorder="1" applyAlignment="1">
      <alignment vertical="center"/>
    </xf>
    <xf numFmtId="0" fontId="11" fillId="7" borderId="4" xfId="5" applyFont="1" applyFill="1" applyBorder="1" applyAlignment="1">
      <alignment horizontal="center" vertical="center"/>
    </xf>
    <xf numFmtId="165" fontId="11" fillId="7" borderId="5" xfId="5" applyNumberFormat="1" applyFont="1" applyFill="1" applyBorder="1" applyAlignment="1">
      <alignment horizontal="center" vertical="center"/>
    </xf>
    <xf numFmtId="0" fontId="11" fillId="9" borderId="2" xfId="5" applyFont="1" applyFill="1" applyBorder="1" applyAlignment="1">
      <alignment horizontal="center" vertical="center"/>
    </xf>
    <xf numFmtId="165" fontId="11" fillId="7" borderId="19" xfId="5" applyNumberFormat="1" applyFont="1" applyFill="1" applyBorder="1" applyAlignment="1">
      <alignment vertical="center"/>
    </xf>
    <xf numFmtId="0" fontId="17" fillId="0" borderId="0" xfId="5" applyFont="1" applyAlignment="1">
      <alignment horizontal="center" vertical="center"/>
    </xf>
    <xf numFmtId="165" fontId="17" fillId="0" borderId="0" xfId="5" applyNumberFormat="1" applyFont="1" applyAlignment="1">
      <alignment horizontal="center" vertical="center"/>
    </xf>
    <xf numFmtId="165" fontId="17" fillId="0" borderId="0" xfId="5" applyNumberFormat="1" applyFont="1" applyAlignment="1">
      <alignment vertical="center"/>
    </xf>
    <xf numFmtId="0" fontId="9" fillId="7" borderId="20" xfId="5" applyFont="1" applyFill="1" applyBorder="1" applyAlignment="1">
      <alignment vertical="center"/>
    </xf>
    <xf numFmtId="0" fontId="9" fillId="7" borderId="21" xfId="5" applyFont="1" applyFill="1" applyBorder="1" applyAlignment="1">
      <alignment vertical="center"/>
    </xf>
    <xf numFmtId="0" fontId="9" fillId="7" borderId="22" xfId="5" applyFont="1" applyFill="1" applyBorder="1" applyAlignment="1">
      <alignment horizontal="center" vertical="center"/>
    </xf>
    <xf numFmtId="165" fontId="9" fillId="7" borderId="23" xfId="5" applyNumberFormat="1" applyFont="1" applyFill="1" applyBorder="1" applyAlignment="1">
      <alignment horizontal="center" vertical="center"/>
    </xf>
    <xf numFmtId="165" fontId="9" fillId="7" borderId="24" xfId="5" applyNumberFormat="1" applyFont="1" applyFill="1" applyBorder="1" applyAlignment="1">
      <alignment vertical="center"/>
    </xf>
    <xf numFmtId="0" fontId="9" fillId="7" borderId="18" xfId="5" applyFont="1" applyFill="1" applyBorder="1" applyAlignment="1">
      <alignment vertical="center"/>
    </xf>
    <xf numFmtId="0" fontId="9" fillId="7" borderId="7" xfId="5" applyFont="1" applyFill="1" applyBorder="1" applyAlignment="1">
      <alignment vertical="center"/>
    </xf>
    <xf numFmtId="165" fontId="9" fillId="7" borderId="5" xfId="5" applyNumberFormat="1" applyFont="1" applyFill="1" applyBorder="1" applyAlignment="1">
      <alignment horizontal="center" vertical="center"/>
    </xf>
    <xf numFmtId="165" fontId="9" fillId="7" borderId="19" xfId="5" applyNumberFormat="1" applyFont="1" applyFill="1" applyBorder="1" applyAlignment="1">
      <alignment vertical="center"/>
    </xf>
    <xf numFmtId="0" fontId="11" fillId="7" borderId="25" xfId="5" applyFont="1" applyFill="1" applyBorder="1" applyAlignment="1">
      <alignment vertical="center"/>
    </xf>
    <xf numFmtId="165" fontId="11" fillId="7" borderId="26" xfId="5" applyNumberFormat="1" applyFont="1" applyFill="1" applyBorder="1" applyAlignment="1">
      <alignment horizontal="center" vertical="center"/>
    </xf>
    <xf numFmtId="0" fontId="11" fillId="9" borderId="6" xfId="5" applyFont="1" applyFill="1" applyBorder="1" applyAlignment="1">
      <alignment horizontal="center" vertical="center"/>
    </xf>
    <xf numFmtId="165" fontId="11" fillId="7" borderId="27" xfId="5" applyNumberFormat="1" applyFont="1" applyFill="1" applyBorder="1" applyAlignment="1">
      <alignment vertical="center"/>
    </xf>
    <xf numFmtId="0" fontId="11" fillId="7" borderId="28" xfId="5" applyFont="1" applyFill="1" applyBorder="1" applyAlignment="1">
      <alignment vertical="center"/>
    </xf>
    <xf numFmtId="0" fontId="11" fillId="7" borderId="29" xfId="5" applyFont="1" applyFill="1" applyBorder="1" applyAlignment="1">
      <alignment horizontal="center" vertical="center"/>
    </xf>
    <xf numFmtId="165" fontId="11" fillId="7" borderId="30" xfId="5" applyNumberFormat="1" applyFont="1" applyFill="1" applyBorder="1" applyAlignment="1">
      <alignment horizontal="center" vertical="center"/>
    </xf>
    <xf numFmtId="165" fontId="11" fillId="7" borderId="11" xfId="5" applyNumberFormat="1" applyFont="1" applyFill="1" applyBorder="1" applyAlignment="1">
      <alignment vertical="center"/>
    </xf>
    <xf numFmtId="0" fontId="15" fillId="0" borderId="31" xfId="5" applyFont="1" applyBorder="1" applyAlignment="1">
      <alignment horizontal="left" vertical="center"/>
    </xf>
    <xf numFmtId="0" fontId="2" fillId="0" borderId="3" xfId="5" applyFont="1" applyBorder="1"/>
    <xf numFmtId="0" fontId="2" fillId="0" borderId="9" xfId="5" applyFont="1" applyBorder="1"/>
    <xf numFmtId="0" fontId="15" fillId="0" borderId="31" xfId="5" applyFont="1" applyBorder="1" applyAlignment="1">
      <alignment horizontal="left" vertical="center"/>
    </xf>
    <xf numFmtId="0" fontId="2" fillId="0" borderId="3" xfId="5" applyFont="1" applyBorder="1"/>
    <xf numFmtId="0" fontId="2" fillId="0" borderId="9" xfId="5" applyFont="1" applyBorder="1"/>
    <xf numFmtId="0" fontId="11" fillId="7" borderId="12" xfId="5" applyFont="1" applyFill="1" applyBorder="1" applyAlignment="1">
      <alignment vertical="center"/>
    </xf>
    <xf numFmtId="0" fontId="11" fillId="7" borderId="14" xfId="5" applyFont="1" applyFill="1" applyBorder="1" applyAlignment="1">
      <alignment horizontal="center" vertical="center"/>
    </xf>
    <xf numFmtId="165" fontId="11" fillId="7" borderId="15" xfId="5" applyNumberFormat="1" applyFont="1" applyFill="1" applyBorder="1" applyAlignment="1">
      <alignment horizontal="center" vertical="center"/>
    </xf>
    <xf numFmtId="165" fontId="11" fillId="7" borderId="17" xfId="5" applyNumberFormat="1" applyFont="1" applyFill="1" applyBorder="1" applyAlignment="1">
      <alignment vertical="center"/>
    </xf>
    <xf numFmtId="0" fontId="12" fillId="10" borderId="6" xfId="5" applyFont="1" applyFill="1" applyBorder="1" applyAlignment="1">
      <alignment horizontal="center" vertical="center"/>
    </xf>
    <xf numFmtId="0" fontId="9" fillId="7" borderId="4" xfId="5" applyFont="1" applyFill="1" applyBorder="1" applyAlignment="1">
      <alignment vertical="center"/>
    </xf>
    <xf numFmtId="0" fontId="12" fillId="0" borderId="32" xfId="5" applyFont="1" applyBorder="1" applyAlignment="1">
      <alignment horizontal="left" vertical="center"/>
    </xf>
    <xf numFmtId="0" fontId="12" fillId="0" borderId="0" xfId="5" applyFont="1" applyAlignment="1">
      <alignment horizontal="left" vertical="center"/>
    </xf>
    <xf numFmtId="0" fontId="12" fillId="0" borderId="33" xfId="5" applyFont="1" applyBorder="1" applyAlignment="1">
      <alignment horizontal="left" vertical="center"/>
    </xf>
    <xf numFmtId="165" fontId="9" fillId="0" borderId="0" xfId="5" applyNumberFormat="1" applyFont="1" applyAlignment="1">
      <alignment vertical="center"/>
    </xf>
    <xf numFmtId="0" fontId="9" fillId="0" borderId="0" xfId="5" applyFont="1" applyAlignment="1">
      <alignment horizontal="center" vertical="center"/>
    </xf>
    <xf numFmtId="0" fontId="11" fillId="7" borderId="34" xfId="5" applyFont="1" applyFill="1" applyBorder="1" applyAlignment="1">
      <alignment horizontal="center" vertical="center"/>
    </xf>
    <xf numFmtId="165" fontId="11" fillId="7" borderId="35" xfId="5" applyNumberFormat="1" applyFont="1" applyFill="1" applyBorder="1" applyAlignment="1">
      <alignment vertical="center"/>
    </xf>
    <xf numFmtId="0" fontId="10" fillId="0" borderId="0" xfId="5" applyFont="1" applyAlignment="1">
      <alignment vertical="center"/>
    </xf>
    <xf numFmtId="0" fontId="11" fillId="7" borderId="36" xfId="5" applyFont="1" applyFill="1" applyBorder="1" applyAlignment="1">
      <alignment vertical="center"/>
    </xf>
    <xf numFmtId="0" fontId="11" fillId="7" borderId="37" xfId="5" applyFont="1" applyFill="1" applyBorder="1" applyAlignment="1">
      <alignment horizontal="center" vertical="center"/>
    </xf>
    <xf numFmtId="165" fontId="11" fillId="7" borderId="38" xfId="5" applyNumberFormat="1" applyFont="1" applyFill="1" applyBorder="1" applyAlignment="1">
      <alignment horizontal="center" vertical="center"/>
    </xf>
    <xf numFmtId="0" fontId="15" fillId="0" borderId="0" xfId="5" applyFont="1" applyAlignment="1">
      <alignment vertical="center"/>
    </xf>
    <xf numFmtId="0" fontId="2" fillId="0" borderId="0" xfId="5" applyFont="1"/>
    <xf numFmtId="0" fontId="11" fillId="7" borderId="39" xfId="5" applyFont="1" applyFill="1" applyBorder="1" applyAlignment="1">
      <alignment vertical="center"/>
    </xf>
    <xf numFmtId="0" fontId="11" fillId="7" borderId="39" xfId="5" applyFont="1" applyFill="1" applyBorder="1" applyAlignment="1">
      <alignment horizontal="center" vertical="center"/>
    </xf>
    <xf numFmtId="165" fontId="11" fillId="7" borderId="39" xfId="5" applyNumberFormat="1" applyFont="1" applyFill="1" applyBorder="1" applyAlignment="1">
      <alignment horizontal="center" vertical="center"/>
    </xf>
    <xf numFmtId="0" fontId="11" fillId="9" borderId="39" xfId="5" applyFont="1" applyFill="1" applyBorder="1" applyAlignment="1">
      <alignment horizontal="center" vertical="center"/>
    </xf>
    <xf numFmtId="165" fontId="11" fillId="7" borderId="39" xfId="5" applyNumberFormat="1" applyFont="1" applyFill="1" applyBorder="1" applyAlignment="1">
      <alignment vertical="center"/>
    </xf>
    <xf numFmtId="0" fontId="15" fillId="0" borderId="40" xfId="5" applyFont="1" applyBorder="1" applyAlignment="1">
      <alignment vertical="center"/>
    </xf>
    <xf numFmtId="0" fontId="2" fillId="0" borderId="41" xfId="5" applyFont="1" applyBorder="1"/>
    <xf numFmtId="0" fontId="2" fillId="0" borderId="42" xfId="5" applyFont="1" applyBorder="1"/>
    <xf numFmtId="0" fontId="11" fillId="7" borderId="12" xfId="5" applyFont="1" applyFill="1" applyBorder="1" applyAlignment="1">
      <alignment horizontal="left" vertical="center"/>
    </xf>
    <xf numFmtId="0" fontId="11" fillId="11" borderId="2" xfId="5" applyFont="1" applyFill="1" applyBorder="1" applyAlignment="1">
      <alignment horizontal="center" vertical="center"/>
    </xf>
    <xf numFmtId="0" fontId="11" fillId="7" borderId="20" xfId="5" applyFont="1" applyFill="1" applyBorder="1" applyAlignment="1">
      <alignment horizontal="left" vertical="center"/>
    </xf>
    <xf numFmtId="165" fontId="11" fillId="7" borderId="24" xfId="5" applyNumberFormat="1" applyFont="1" applyFill="1" applyBorder="1" applyAlignment="1">
      <alignment vertical="center"/>
    </xf>
    <xf numFmtId="0" fontId="11" fillId="7" borderId="18" xfId="5" applyFont="1" applyFill="1" applyBorder="1" applyAlignment="1">
      <alignment horizontal="left" vertical="center"/>
    </xf>
    <xf numFmtId="0" fontId="9" fillId="7" borderId="25" xfId="5" applyFont="1" applyFill="1" applyBorder="1" applyAlignment="1">
      <alignment vertical="center"/>
    </xf>
    <xf numFmtId="0" fontId="9" fillId="7" borderId="43" xfId="5" applyFont="1" applyFill="1" applyBorder="1" applyAlignment="1">
      <alignment vertical="center"/>
    </xf>
    <xf numFmtId="0" fontId="9" fillId="7" borderId="34" xfId="5" applyFont="1" applyFill="1" applyBorder="1" applyAlignment="1">
      <alignment horizontal="center" vertical="center"/>
    </xf>
    <xf numFmtId="165" fontId="9" fillId="7" borderId="26" xfId="5" applyNumberFormat="1" applyFont="1" applyFill="1" applyBorder="1" applyAlignment="1">
      <alignment horizontal="center" vertical="center"/>
    </xf>
    <xf numFmtId="165" fontId="9" fillId="7" borderId="27" xfId="5" applyNumberFormat="1" applyFont="1" applyFill="1" applyBorder="1" applyAlignment="1">
      <alignment vertical="center"/>
    </xf>
    <xf numFmtId="165" fontId="9" fillId="7" borderId="44" xfId="5" applyNumberFormat="1" applyFont="1" applyFill="1" applyBorder="1" applyAlignment="1">
      <alignment horizontal="center" vertical="center"/>
    </xf>
    <xf numFmtId="0" fontId="18" fillId="10" borderId="6" xfId="5" applyFont="1" applyFill="1" applyBorder="1" applyAlignment="1">
      <alignment horizontal="center" vertical="center"/>
    </xf>
    <xf numFmtId="0" fontId="9" fillId="7" borderId="1" xfId="5" applyFont="1" applyFill="1" applyBorder="1" applyAlignment="1">
      <alignment vertical="center"/>
    </xf>
    <xf numFmtId="0" fontId="9" fillId="7" borderId="1" xfId="5" applyFont="1" applyFill="1" applyBorder="1" applyAlignment="1">
      <alignment horizontal="center" vertical="center"/>
    </xf>
    <xf numFmtId="165" fontId="9" fillId="7" borderId="1" xfId="5" applyNumberFormat="1" applyFont="1" applyFill="1" applyBorder="1" applyAlignment="1">
      <alignment horizontal="center" vertical="center"/>
    </xf>
    <xf numFmtId="0" fontId="12" fillId="9" borderId="1" xfId="5" applyFont="1" applyFill="1" applyBorder="1" applyAlignment="1">
      <alignment horizontal="center" vertical="center"/>
    </xf>
    <xf numFmtId="165" fontId="9" fillId="7" borderId="1" xfId="5" applyNumberFormat="1" applyFont="1" applyFill="1" applyBorder="1" applyAlignment="1">
      <alignment vertical="center"/>
    </xf>
    <xf numFmtId="0" fontId="11" fillId="7" borderId="36" xfId="5" applyFont="1" applyFill="1" applyBorder="1" applyAlignment="1">
      <alignment horizontal="left" vertical="center"/>
    </xf>
    <xf numFmtId="0" fontId="15" fillId="0" borderId="40" xfId="5" applyFont="1" applyBorder="1" applyAlignment="1">
      <alignment horizontal="left" vertical="center"/>
    </xf>
    <xf numFmtId="0" fontId="9" fillId="7" borderId="7" xfId="5" applyFont="1" applyFill="1" applyBorder="1" applyAlignment="1">
      <alignment horizontal="center" vertical="center"/>
    </xf>
    <xf numFmtId="7" fontId="11" fillId="7" borderId="5" xfId="5" applyNumberFormat="1" applyFont="1" applyFill="1" applyBorder="1" applyAlignment="1">
      <alignment horizontal="center" vertical="center"/>
    </xf>
    <xf numFmtId="0" fontId="11" fillId="9" borderId="16" xfId="5" applyFont="1" applyFill="1" applyBorder="1" applyAlignment="1">
      <alignment horizontal="center" vertical="center"/>
    </xf>
    <xf numFmtId="0" fontId="12" fillId="0" borderId="32" xfId="5" applyFont="1" applyBorder="1" applyAlignment="1">
      <alignment vertical="center"/>
    </xf>
    <xf numFmtId="0" fontId="12" fillId="0" borderId="33" xfId="5" applyFont="1" applyBorder="1" applyAlignment="1">
      <alignment vertical="center"/>
    </xf>
    <xf numFmtId="7" fontId="11" fillId="7" borderId="26" xfId="5" applyNumberFormat="1" applyFont="1" applyFill="1" applyBorder="1" applyAlignment="1">
      <alignment horizontal="center" vertical="center"/>
    </xf>
    <xf numFmtId="0" fontId="11" fillId="9" borderId="32" xfId="5" applyFont="1" applyFill="1" applyBorder="1" applyAlignment="1">
      <alignment horizontal="center" vertical="center"/>
    </xf>
    <xf numFmtId="0" fontId="11" fillId="7" borderId="45" xfId="5" applyFont="1" applyFill="1" applyBorder="1" applyAlignment="1">
      <alignment vertical="center"/>
    </xf>
    <xf numFmtId="0" fontId="11" fillId="7" borderId="46" xfId="5" applyFont="1" applyFill="1" applyBorder="1" applyAlignment="1">
      <alignment horizontal="center" vertical="center"/>
    </xf>
    <xf numFmtId="165" fontId="11" fillId="7" borderId="47" xfId="5" applyNumberFormat="1" applyFont="1" applyFill="1" applyBorder="1" applyAlignment="1">
      <alignment horizontal="center" vertical="center"/>
    </xf>
    <xf numFmtId="0" fontId="11" fillId="9" borderId="48" xfId="5" applyFont="1" applyFill="1" applyBorder="1" applyAlignment="1">
      <alignment horizontal="center" vertical="center"/>
    </xf>
    <xf numFmtId="0" fontId="16" fillId="0" borderId="0" xfId="5" applyFont="1" applyAlignment="1">
      <alignment vertical="center"/>
    </xf>
    <xf numFmtId="0" fontId="19" fillId="0" borderId="0" xfId="5" applyFont="1" applyAlignment="1">
      <alignment vertical="center"/>
    </xf>
    <xf numFmtId="0" fontId="16" fillId="0" borderId="0" xfId="5" applyFont="1" applyAlignment="1">
      <alignment vertical="center"/>
    </xf>
    <xf numFmtId="165" fontId="11" fillId="0" borderId="0" xfId="5" applyNumberFormat="1" applyFont="1" applyAlignment="1">
      <alignment vertical="center"/>
    </xf>
    <xf numFmtId="165" fontId="9" fillId="7" borderId="34" xfId="5" applyNumberFormat="1" applyFont="1" applyFill="1" applyBorder="1" applyAlignment="1">
      <alignment vertical="center"/>
    </xf>
    <xf numFmtId="0" fontId="9" fillId="7" borderId="43" xfId="5" applyFont="1" applyFill="1" applyBorder="1" applyAlignment="1">
      <alignment horizontal="center" vertical="center"/>
    </xf>
    <xf numFmtId="0" fontId="12" fillId="10" borderId="16" xfId="5" applyFont="1" applyFill="1" applyBorder="1" applyAlignment="1">
      <alignment horizontal="center" vertical="center"/>
    </xf>
    <xf numFmtId="0" fontId="9" fillId="7" borderId="36" xfId="5" applyFont="1" applyFill="1" applyBorder="1" applyAlignment="1">
      <alignment vertical="center"/>
    </xf>
    <xf numFmtId="0" fontId="9" fillId="7" borderId="49" xfId="5" applyFont="1" applyFill="1" applyBorder="1" applyAlignment="1">
      <alignment vertical="center"/>
    </xf>
    <xf numFmtId="0" fontId="9" fillId="7" borderId="37" xfId="5" applyFont="1" applyFill="1" applyBorder="1" applyAlignment="1">
      <alignment horizontal="center" vertical="center"/>
    </xf>
    <xf numFmtId="165" fontId="9" fillId="7" borderId="50" xfId="5" applyNumberFormat="1" applyFont="1" applyFill="1" applyBorder="1" applyAlignment="1">
      <alignment horizontal="center" vertical="center"/>
    </xf>
    <xf numFmtId="165" fontId="9" fillId="7" borderId="35" xfId="5" applyNumberFormat="1" applyFont="1" applyFill="1" applyBorder="1" applyAlignment="1">
      <alignment vertical="center"/>
    </xf>
    <xf numFmtId="0" fontId="16" fillId="0" borderId="0" xfId="5" applyFont="1" applyAlignment="1">
      <alignment horizontal="center" vertical="center"/>
    </xf>
    <xf numFmtId="165" fontId="16" fillId="0" borderId="0" xfId="5" applyNumberFormat="1" applyFont="1" applyAlignment="1">
      <alignment horizontal="center" vertical="center"/>
    </xf>
    <xf numFmtId="0" fontId="10" fillId="0" borderId="0" xfId="5" applyFont="1" applyAlignment="1">
      <alignment horizontal="center" vertical="center"/>
    </xf>
    <xf numFmtId="165" fontId="16" fillId="0" borderId="0" xfId="5" applyNumberFormat="1" applyFont="1" applyAlignment="1">
      <alignment vertical="center"/>
    </xf>
    <xf numFmtId="0" fontId="4" fillId="0" borderId="0" xfId="5" applyAlignment="1">
      <alignment vertical="center"/>
    </xf>
    <xf numFmtId="0" fontId="8" fillId="0" borderId="0" xfId="5" applyFont="1" applyAlignment="1">
      <alignment horizontal="center" vertical="center"/>
    </xf>
    <xf numFmtId="0" fontId="4" fillId="0" borderId="0" xfId="5" applyAlignment="1">
      <alignment horizontal="center" vertical="center"/>
    </xf>
    <xf numFmtId="165" fontId="4" fillId="0" borderId="0" xfId="5" applyNumberFormat="1" applyAlignment="1">
      <alignment horizontal="center" vertical="center"/>
    </xf>
    <xf numFmtId="165" fontId="4" fillId="0" borderId="0" xfId="5" applyNumberFormat="1" applyAlignment="1">
      <alignment vertical="center"/>
    </xf>
    <xf numFmtId="0" fontId="22" fillId="0" borderId="0" xfId="0" applyFont="1" applyFill="1" applyBorder="1"/>
    <xf numFmtId="49" fontId="22" fillId="0" borderId="0" xfId="0" applyNumberFormat="1" applyFont="1" applyFill="1" applyBorder="1"/>
    <xf numFmtId="167" fontId="22" fillId="0" borderId="0" xfId="0" applyNumberFormat="1" applyFont="1" applyFill="1" applyBorder="1"/>
    <xf numFmtId="2" fontId="22" fillId="0" borderId="0" xfId="0" applyNumberFormat="1" applyFont="1" applyFill="1" applyBorder="1" applyAlignment="1">
      <alignment wrapText="1"/>
    </xf>
    <xf numFmtId="49" fontId="22" fillId="0" borderId="51" xfId="0" applyNumberFormat="1" applyFont="1" applyFill="1" applyBorder="1"/>
    <xf numFmtId="0" fontId="22" fillId="0" borderId="51" xfId="0" applyFont="1" applyFill="1" applyBorder="1"/>
    <xf numFmtId="167" fontId="22" fillId="0" borderId="51" xfId="0" applyNumberFormat="1" applyFont="1" applyFill="1" applyBorder="1"/>
    <xf numFmtId="2" fontId="22" fillId="0" borderId="51" xfId="0" applyNumberFormat="1" applyFont="1" applyFill="1" applyBorder="1"/>
    <xf numFmtId="49" fontId="2" fillId="0" borderId="51" xfId="0" applyNumberFormat="1" applyFont="1" applyFill="1" applyBorder="1"/>
    <xf numFmtId="49" fontId="23" fillId="0" borderId="51" xfId="0" applyNumberFormat="1" applyFont="1" applyFill="1" applyBorder="1"/>
    <xf numFmtId="167" fontId="2" fillId="0" borderId="51" xfId="0" applyNumberFormat="1" applyFont="1" applyFill="1" applyBorder="1"/>
    <xf numFmtId="0" fontId="2" fillId="0" borderId="51" xfId="0" applyFont="1" applyFill="1" applyBorder="1"/>
    <xf numFmtId="167" fontId="21" fillId="0" borderId="51" xfId="0" applyNumberFormat="1" applyFont="1" applyFill="1" applyBorder="1"/>
    <xf numFmtId="49" fontId="23" fillId="0" borderId="51" xfId="0" applyNumberFormat="1" applyFont="1" applyFill="1" applyBorder="1" applyAlignment="1">
      <alignment wrapText="1"/>
    </xf>
    <xf numFmtId="168" fontId="22" fillId="0" borderId="51" xfId="0" applyNumberFormat="1" applyFont="1" applyFill="1" applyBorder="1"/>
    <xf numFmtId="2" fontId="2" fillId="0" borderId="51" xfId="0" applyNumberFormat="1" applyFont="1" applyFill="1" applyBorder="1"/>
    <xf numFmtId="0" fontId="23" fillId="0" borderId="51" xfId="0" applyFont="1" applyFill="1" applyBorder="1"/>
    <xf numFmtId="49" fontId="2" fillId="0" borderId="51" xfId="0" applyNumberFormat="1" applyFont="1" applyFill="1" applyBorder="1" applyAlignment="1">
      <alignment wrapText="1"/>
    </xf>
    <xf numFmtId="20" fontId="22" fillId="0" borderId="51" xfId="0" applyNumberFormat="1" applyFont="1" applyFill="1" applyBorder="1"/>
    <xf numFmtId="44" fontId="2" fillId="0" borderId="51" xfId="0" applyNumberFormat="1" applyFont="1" applyFill="1" applyBorder="1"/>
    <xf numFmtId="49" fontId="24" fillId="0" borderId="51" xfId="0" applyNumberFormat="1" applyFont="1" applyFill="1" applyBorder="1"/>
    <xf numFmtId="49" fontId="25" fillId="0" borderId="51" xfId="0" applyNumberFormat="1" applyFont="1" applyFill="1" applyBorder="1"/>
    <xf numFmtId="0" fontId="26" fillId="0" borderId="51" xfId="0" applyFont="1" applyFill="1" applyBorder="1"/>
    <xf numFmtId="49" fontId="27" fillId="0" borderId="51" xfId="0" applyNumberFormat="1" applyFont="1" applyFill="1" applyBorder="1"/>
    <xf numFmtId="49" fontId="23" fillId="0" borderId="51" xfId="0" applyNumberFormat="1" applyFont="1" applyFill="1" applyBorder="1" applyAlignment="1">
      <alignment horizontal="left" vertical="center"/>
    </xf>
    <xf numFmtId="0" fontId="22" fillId="0" borderId="51" xfId="0" quotePrefix="1" applyFont="1" applyFill="1" applyBorder="1"/>
    <xf numFmtId="0" fontId="22" fillId="0" borderId="51" xfId="0" applyFont="1" applyFill="1" applyBorder="1" applyAlignment="1">
      <alignment horizontal="center"/>
    </xf>
    <xf numFmtId="169" fontId="2" fillId="0" borderId="51" xfId="0" applyNumberFormat="1" applyFont="1" applyFill="1" applyBorder="1"/>
    <xf numFmtId="49" fontId="21" fillId="6" borderId="0" xfId="0" applyNumberFormat="1" applyFont="1" applyFill="1" applyBorder="1"/>
    <xf numFmtId="167" fontId="21" fillId="6" borderId="0" xfId="0" applyNumberFormat="1" applyFont="1" applyFill="1" applyBorder="1"/>
    <xf numFmtId="0" fontId="22" fillId="6" borderId="0" xfId="0" applyFont="1" applyFill="1" applyBorder="1"/>
  </cellXfs>
  <cellStyles count="7">
    <cellStyle name="40% - Accent3" xfId="1" builtinId="39"/>
    <cellStyle name="Comma 2" xfId="4" xr:uid="{B7ADB6A7-2D12-4D63-8B5B-2CE8A86F06A3}"/>
    <cellStyle name="Currency 2" xfId="3" xr:uid="{49AE3ABC-BB1D-49AA-A011-99933299D92D}"/>
    <cellStyle name="Normal" xfId="0" builtinId="0"/>
    <cellStyle name="Normal 2" xfId="2" xr:uid="{3117EF69-94A7-4136-ABDB-57BBD4655302}"/>
    <cellStyle name="Normal 3" xfId="5" xr:uid="{16CC6931-BFDF-4D40-A156-1AB000199EDA}"/>
    <cellStyle name="Normal 4" xfId="6" xr:uid="{07091044-FDE2-4C3E-971F-A5309D998AD4}"/>
  </cellStyles>
  <dxfs count="4">
    <dxf>
      <font>
        <color rgb="FFFF0000"/>
      </font>
    </dxf>
    <dxf>
      <font>
        <color rgb="FFFF0000"/>
      </font>
    </dxf>
    <dxf>
      <font>
        <color rgb="FFFF000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1"/>
        <name val="Calibri"/>
        <scheme val="none"/>
      </font>
      <numFmt numFmtId="164" formatCode="\Te\x\t"/>
      <fill>
        <patternFill patternType="solid">
          <fgColor indexed="64"/>
          <bgColor indexed="2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BFF2C54-A1C8-4683-997D-5A970CEB5163}" name="Table1" displayName="Table1" ref="A1:I234" totalsRowShown="0" headerRowDxfId="3">
  <autoFilter ref="A1:I234" xr:uid="{00000000-0009-0000-0100-000001000000}">
    <filterColumn colId="8">
      <filters>
        <filter val="11.11"/>
        <filter val="112.56"/>
        <filter val="12.32"/>
        <filter val="13.508"/>
        <filter val="13.7375"/>
        <filter val="130.526"/>
        <filter val="14.19"/>
        <filter val="15.75"/>
        <filter val="15.795"/>
        <filter val="160"/>
        <filter val="19.228"/>
        <filter val="19.32"/>
        <filter val="19.93"/>
        <filter val="195.793"/>
        <filter val="24.26"/>
        <filter val="25.749"/>
        <filter val="26.64"/>
        <filter val="27.4"/>
        <filter val="27.72"/>
        <filter val="29.40264"/>
        <filter val="29.94"/>
        <filter val="3.63"/>
        <filter val="32.83"/>
        <filter val="336.204"/>
        <filter val="34.825"/>
        <filter val="35.19"/>
        <filter val="35.46"/>
        <filter val="35.87"/>
        <filter val="4.19"/>
        <filter val="45.74"/>
        <filter val="49.28"/>
        <filter val="50.355"/>
        <filter val="50.4495"/>
        <filter val="50.992"/>
        <filter val="53.427"/>
        <filter val="6.3975"/>
        <filter val="60"/>
        <filter val="60.84"/>
        <filter val="7.11975"/>
        <filter val="7.414"/>
        <filter val="7.831494"/>
      </filters>
    </filterColumn>
  </autoFilter>
  <tableColumns count="9">
    <tableColumn id="1" xr3:uid="{7CA92EEA-F5C0-41C1-867E-3303B3B57D63}" name="samaster_CODE"/>
    <tableColumn id="2" xr3:uid="{2DE2482E-7AF7-4EEB-B24D-52BE4E9924EA}" name="samaster_BRAND"/>
    <tableColumn id="3" xr3:uid="{393F3F30-8F44-4150-B9D0-8B9F4ECE4365}" name="samaster_DESCRIPTION"/>
    <tableColumn id="4" xr3:uid="{02D822CF-2927-4821-988A-113F6778086B}" name="samaster_UNITS"/>
    <tableColumn id="5" xr3:uid="{84055856-6753-4E7B-8717-2F2A72CED9CB}" name="samaster_DiscountPrice"/>
    <tableColumn id="6" xr3:uid="{1D900831-20BF-4DE6-8824-EF24D15B7E1F}" name="TaxTotal"/>
    <tableColumn id="7" xr3:uid="{3A4FD306-54D5-4E12-8741-A9A0580EF97F}" name="total inc tax"/>
    <tableColumn id="8" xr3:uid="{1C066EA7-EFEF-4530-ACDD-4AF1DD5A9C91}" name="Bakery stock"/>
    <tableColumn id="9" xr3:uid="{3CEEC67F-5139-4230-9AB2-CE691BC626C4}" name="total">
      <calculatedColumnFormula>G2*H2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B3FCC-A386-4BD8-A3F3-6A3890A624B0}">
  <sheetPr>
    <pageSetUpPr fitToPage="1"/>
  </sheetPr>
  <dimension ref="A1:P1444"/>
  <sheetViews>
    <sheetView showGridLines="0" tabSelected="1" zoomScale="130" zoomScaleNormal="130" workbookViewId="0">
      <selection activeCell="A2" sqref="A2"/>
    </sheetView>
  </sheetViews>
  <sheetFormatPr defaultColWidth="8.85546875" defaultRowHeight="15" customHeight="1" x14ac:dyDescent="0.25"/>
  <cols>
    <col min="1" max="1" width="38.140625" style="203" customWidth="1"/>
    <col min="2" max="2" width="19.28515625" style="203" customWidth="1"/>
    <col min="3" max="3" width="11" style="203" customWidth="1"/>
    <col min="4" max="4" width="10.28515625" style="205" customWidth="1"/>
    <col min="5" max="5" width="17.7109375" style="203" customWidth="1"/>
    <col min="6" max="6" width="16" style="203" customWidth="1"/>
    <col min="7" max="7" width="5.42578125" style="203" customWidth="1"/>
    <col min="8" max="10" width="8.85546875" style="203" customWidth="1"/>
    <col min="11" max="11" width="11" style="203" customWidth="1"/>
    <col min="12" max="17" width="8.85546875" style="203" customWidth="1"/>
    <col min="18" max="16384" width="8.85546875" style="203"/>
  </cols>
  <sheetData>
    <row r="1" spans="1:11" ht="13.5" customHeight="1" x14ac:dyDescent="0.25">
      <c r="A1" s="231" t="s">
        <v>759</v>
      </c>
      <c r="B1" s="231" t="s">
        <v>760</v>
      </c>
      <c r="C1" s="231" t="s">
        <v>761</v>
      </c>
      <c r="D1" s="232" t="s">
        <v>762</v>
      </c>
      <c r="E1" s="231"/>
      <c r="F1" s="231" t="s">
        <v>763</v>
      </c>
      <c r="G1" s="231" t="s">
        <v>764</v>
      </c>
      <c r="H1" s="233"/>
    </row>
    <row r="2" spans="1:11" ht="13.5" customHeight="1" x14ac:dyDescent="0.25">
      <c r="A2" s="207" t="s">
        <v>765</v>
      </c>
      <c r="B2" s="207" t="s">
        <v>766</v>
      </c>
      <c r="C2" s="208"/>
      <c r="D2" s="209">
        <v>22.68</v>
      </c>
      <c r="E2" s="210">
        <v>4.3</v>
      </c>
      <c r="F2" s="209">
        <f t="shared" ref="F2:F65" si="0">D2:D2*E2:E2</f>
        <v>97.524000000000001</v>
      </c>
      <c r="G2" s="211" t="s">
        <v>767</v>
      </c>
      <c r="H2" s="208"/>
    </row>
    <row r="3" spans="1:11" ht="13.5" customHeight="1" x14ac:dyDescent="0.25">
      <c r="A3" s="211" t="s">
        <v>768</v>
      </c>
      <c r="B3" s="207"/>
      <c r="C3" s="208"/>
      <c r="D3" s="209"/>
      <c r="E3" s="210">
        <v>10.72</v>
      </c>
      <c r="F3" s="209">
        <f t="shared" si="0"/>
        <v>0</v>
      </c>
      <c r="G3" s="211"/>
      <c r="H3" s="208" t="s">
        <v>769</v>
      </c>
    </row>
    <row r="4" spans="1:11" ht="18" customHeight="1" x14ac:dyDescent="0.25">
      <c r="A4" s="207" t="s">
        <v>770</v>
      </c>
      <c r="B4" s="207" t="s">
        <v>766</v>
      </c>
      <c r="C4" s="208"/>
      <c r="D4" s="209">
        <v>21</v>
      </c>
      <c r="E4" s="210">
        <v>2.5</v>
      </c>
      <c r="F4" s="209">
        <f t="shared" si="0"/>
        <v>52.5</v>
      </c>
      <c r="G4" s="211" t="s">
        <v>767</v>
      </c>
      <c r="H4" s="208"/>
    </row>
    <row r="5" spans="1:11" ht="13.5" customHeight="1" x14ac:dyDescent="0.25">
      <c r="A5" s="207" t="s">
        <v>771</v>
      </c>
      <c r="B5" s="207" t="s">
        <v>766</v>
      </c>
      <c r="C5" s="208"/>
      <c r="D5" s="209">
        <v>22.46</v>
      </c>
      <c r="E5" s="210">
        <v>18.73</v>
      </c>
      <c r="F5" s="209">
        <f t="shared" si="0"/>
        <v>420.67580000000004</v>
      </c>
      <c r="G5" s="211" t="s">
        <v>767</v>
      </c>
      <c r="H5" s="208"/>
    </row>
    <row r="6" spans="1:11" ht="15.75" customHeight="1" x14ac:dyDescent="0.25">
      <c r="A6" s="212" t="s">
        <v>772</v>
      </c>
      <c r="B6" s="208"/>
      <c r="C6" s="208"/>
      <c r="D6" s="209">
        <v>50</v>
      </c>
      <c r="E6" s="210">
        <v>0</v>
      </c>
      <c r="F6" s="209">
        <f t="shared" si="0"/>
        <v>0</v>
      </c>
      <c r="G6" s="207"/>
      <c r="H6" s="208"/>
      <c r="K6" s="207" t="s">
        <v>773</v>
      </c>
    </row>
    <row r="7" spans="1:11" ht="13.5" customHeight="1" x14ac:dyDescent="0.25">
      <c r="A7" s="207" t="s">
        <v>774</v>
      </c>
      <c r="B7" s="207" t="s">
        <v>766</v>
      </c>
      <c r="C7" s="208"/>
      <c r="D7" s="209">
        <v>25</v>
      </c>
      <c r="E7" s="210">
        <v>2.4700000000000002</v>
      </c>
      <c r="F7" s="209">
        <f t="shared" si="0"/>
        <v>61.750000000000007</v>
      </c>
      <c r="G7" s="211" t="s">
        <v>767</v>
      </c>
      <c r="H7" s="208"/>
      <c r="K7" s="207" t="s">
        <v>775</v>
      </c>
    </row>
    <row r="8" spans="1:11" ht="15.75" customHeight="1" x14ac:dyDescent="0.25">
      <c r="A8" s="212" t="s">
        <v>776</v>
      </c>
      <c r="B8" s="207" t="s">
        <v>777</v>
      </c>
      <c r="C8" s="208"/>
      <c r="D8" s="209">
        <v>21.9</v>
      </c>
      <c r="E8" s="210">
        <v>0</v>
      </c>
      <c r="F8" s="209">
        <f t="shared" si="0"/>
        <v>0</v>
      </c>
      <c r="G8" s="211" t="s">
        <v>778</v>
      </c>
      <c r="H8" s="208"/>
      <c r="K8" s="207" t="s">
        <v>779</v>
      </c>
    </row>
    <row r="9" spans="1:11" ht="15.75" customHeight="1" x14ac:dyDescent="0.25">
      <c r="A9" s="212" t="s">
        <v>780</v>
      </c>
      <c r="B9" s="207" t="s">
        <v>766</v>
      </c>
      <c r="C9" s="208"/>
      <c r="D9" s="209">
        <v>24.5</v>
      </c>
      <c r="E9" s="210">
        <v>2.7959999999999998</v>
      </c>
      <c r="F9" s="209">
        <f t="shared" si="0"/>
        <v>68.501999999999995</v>
      </c>
      <c r="G9" s="211" t="s">
        <v>767</v>
      </c>
      <c r="H9" s="208"/>
      <c r="K9" s="207" t="s">
        <v>781</v>
      </c>
    </row>
    <row r="10" spans="1:11" ht="15.75" customHeight="1" x14ac:dyDescent="0.25">
      <c r="A10" s="212" t="s">
        <v>782</v>
      </c>
      <c r="B10" s="207" t="s">
        <v>766</v>
      </c>
      <c r="C10" s="208"/>
      <c r="D10" s="209">
        <v>37.200000000000003</v>
      </c>
      <c r="E10" s="210">
        <v>0</v>
      </c>
      <c r="F10" s="209">
        <f t="shared" si="0"/>
        <v>0</v>
      </c>
      <c r="G10" s="208"/>
      <c r="H10" s="208"/>
      <c r="K10" s="207" t="s">
        <v>783</v>
      </c>
    </row>
    <row r="11" spans="1:11" ht="15.75" customHeight="1" x14ac:dyDescent="0.25">
      <c r="A11" s="212" t="s">
        <v>784</v>
      </c>
      <c r="B11" s="207" t="s">
        <v>766</v>
      </c>
      <c r="C11" s="208"/>
      <c r="D11" s="209">
        <v>36.5</v>
      </c>
      <c r="E11" s="210">
        <v>1.84</v>
      </c>
      <c r="F11" s="209">
        <f t="shared" si="0"/>
        <v>67.16</v>
      </c>
      <c r="G11" s="211" t="s">
        <v>785</v>
      </c>
      <c r="H11" s="208"/>
      <c r="K11" s="207" t="s">
        <v>786</v>
      </c>
    </row>
    <row r="12" spans="1:11" ht="15.75" customHeight="1" x14ac:dyDescent="0.25">
      <c r="A12" s="212" t="s">
        <v>787</v>
      </c>
      <c r="B12" s="207" t="s">
        <v>766</v>
      </c>
      <c r="C12" s="208"/>
      <c r="D12" s="209">
        <v>51.95</v>
      </c>
      <c r="E12" s="210"/>
      <c r="F12" s="209">
        <f t="shared" si="0"/>
        <v>0</v>
      </c>
      <c r="G12" s="208"/>
      <c r="H12" s="208"/>
    </row>
    <row r="13" spans="1:11" ht="15.75" customHeight="1" x14ac:dyDescent="0.25">
      <c r="A13" s="212" t="s">
        <v>788</v>
      </c>
      <c r="B13" s="207" t="s">
        <v>766</v>
      </c>
      <c r="C13" s="208"/>
      <c r="D13" s="209">
        <v>41.25</v>
      </c>
      <c r="E13" s="210">
        <v>1.6</v>
      </c>
      <c r="F13" s="209">
        <f t="shared" si="0"/>
        <v>66</v>
      </c>
      <c r="G13" s="211" t="s">
        <v>767</v>
      </c>
      <c r="H13" s="208"/>
    </row>
    <row r="14" spans="1:11" ht="15.75" customHeight="1" x14ac:dyDescent="0.25">
      <c r="A14" s="212" t="s">
        <v>789</v>
      </c>
      <c r="B14" s="207" t="s">
        <v>766</v>
      </c>
      <c r="C14" s="208"/>
      <c r="D14" s="209">
        <v>51.95</v>
      </c>
      <c r="E14" s="210">
        <v>0</v>
      </c>
      <c r="F14" s="209">
        <f t="shared" si="0"/>
        <v>0</v>
      </c>
      <c r="G14" s="211" t="s">
        <v>778</v>
      </c>
      <c r="H14" s="208"/>
    </row>
    <row r="15" spans="1:11" ht="15.75" customHeight="1" x14ac:dyDescent="0.25">
      <c r="A15" s="212" t="s">
        <v>790</v>
      </c>
      <c r="B15" s="207" t="s">
        <v>766</v>
      </c>
      <c r="C15" s="208"/>
      <c r="D15" s="209">
        <v>42.95</v>
      </c>
      <c r="E15" s="210"/>
      <c r="F15" s="209">
        <f t="shared" si="0"/>
        <v>0</v>
      </c>
      <c r="G15" s="211" t="s">
        <v>767</v>
      </c>
      <c r="H15" s="208"/>
    </row>
    <row r="16" spans="1:11" ht="15.75" customHeight="1" x14ac:dyDescent="0.25">
      <c r="A16" s="212" t="s">
        <v>791</v>
      </c>
      <c r="B16" s="207" t="s">
        <v>766</v>
      </c>
      <c r="C16" s="208"/>
      <c r="D16" s="209">
        <v>12</v>
      </c>
      <c r="E16" s="210">
        <v>0</v>
      </c>
      <c r="F16" s="209">
        <f t="shared" si="0"/>
        <v>0</v>
      </c>
      <c r="G16" s="209"/>
      <c r="H16" s="208"/>
    </row>
    <row r="17" spans="1:8" ht="18" customHeight="1" x14ac:dyDescent="0.25">
      <c r="A17" s="212" t="s">
        <v>792</v>
      </c>
      <c r="B17" s="207" t="s">
        <v>766</v>
      </c>
      <c r="C17" s="208"/>
      <c r="D17" s="209">
        <v>24.95</v>
      </c>
      <c r="E17" s="210">
        <v>2.4700000000000002</v>
      </c>
      <c r="F17" s="209">
        <f t="shared" si="0"/>
        <v>61.6265</v>
      </c>
      <c r="G17" s="209" t="s">
        <v>793</v>
      </c>
      <c r="H17" s="208"/>
    </row>
    <row r="18" spans="1:8" ht="18" customHeight="1" x14ac:dyDescent="0.25">
      <c r="A18" s="212" t="s">
        <v>794</v>
      </c>
      <c r="B18" s="207"/>
      <c r="C18" s="208"/>
      <c r="D18" s="209">
        <v>26.95</v>
      </c>
      <c r="E18" s="210">
        <v>0</v>
      </c>
      <c r="F18" s="209">
        <f t="shared" si="0"/>
        <v>0</v>
      </c>
      <c r="G18" s="209"/>
      <c r="H18" s="208"/>
    </row>
    <row r="19" spans="1:8" ht="18" customHeight="1" x14ac:dyDescent="0.25">
      <c r="A19" s="207" t="s">
        <v>795</v>
      </c>
      <c r="B19" s="207" t="s">
        <v>796</v>
      </c>
      <c r="C19" s="208"/>
      <c r="D19" s="209">
        <v>37</v>
      </c>
      <c r="E19" s="210">
        <v>0</v>
      </c>
      <c r="F19" s="209">
        <f t="shared" si="0"/>
        <v>0</v>
      </c>
      <c r="G19" s="208"/>
      <c r="H19" s="208"/>
    </row>
    <row r="20" spans="1:8" ht="18" customHeight="1" x14ac:dyDescent="0.25">
      <c r="A20" s="212" t="s">
        <v>797</v>
      </c>
      <c r="B20" s="208"/>
      <c r="C20" s="208"/>
      <c r="D20" s="209">
        <v>28</v>
      </c>
      <c r="E20" s="210">
        <v>0</v>
      </c>
      <c r="F20" s="209">
        <f t="shared" si="0"/>
        <v>0</v>
      </c>
      <c r="G20" s="209"/>
      <c r="H20" s="208"/>
    </row>
    <row r="21" spans="1:8" ht="13.5" customHeight="1" x14ac:dyDescent="0.25">
      <c r="A21" s="207" t="s">
        <v>798</v>
      </c>
      <c r="B21" s="207" t="s">
        <v>796</v>
      </c>
      <c r="C21" s="208"/>
      <c r="D21" s="209">
        <v>24</v>
      </c>
      <c r="E21" s="210">
        <v>0</v>
      </c>
      <c r="F21" s="209">
        <f t="shared" si="0"/>
        <v>0</v>
      </c>
      <c r="G21" s="208" t="s">
        <v>767</v>
      </c>
      <c r="H21" s="208"/>
    </row>
    <row r="22" spans="1:8" ht="15.75" customHeight="1" x14ac:dyDescent="0.25">
      <c r="A22" s="212" t="s">
        <v>799</v>
      </c>
      <c r="B22" s="207" t="s">
        <v>796</v>
      </c>
      <c r="C22" s="208"/>
      <c r="D22" s="209">
        <v>30</v>
      </c>
      <c r="E22" s="210"/>
      <c r="F22" s="209">
        <f t="shared" si="0"/>
        <v>0</v>
      </c>
      <c r="G22" s="208"/>
      <c r="H22" s="208"/>
    </row>
    <row r="23" spans="1:8" ht="15.75" customHeight="1" x14ac:dyDescent="0.25">
      <c r="A23" s="212" t="s">
        <v>800</v>
      </c>
      <c r="B23" s="207" t="s">
        <v>796</v>
      </c>
      <c r="C23" s="208"/>
      <c r="D23" s="209">
        <v>18</v>
      </c>
      <c r="E23" s="210">
        <v>0</v>
      </c>
      <c r="F23" s="209">
        <f t="shared" si="0"/>
        <v>0</v>
      </c>
      <c r="G23" s="208"/>
      <c r="H23" s="208"/>
    </row>
    <row r="24" spans="1:8" ht="15.75" customHeight="1" x14ac:dyDescent="0.25">
      <c r="A24" s="212" t="s">
        <v>801</v>
      </c>
      <c r="B24" s="207" t="s">
        <v>796</v>
      </c>
      <c r="C24" s="208"/>
      <c r="D24" s="209">
        <v>15</v>
      </c>
      <c r="E24" s="210"/>
      <c r="F24" s="209">
        <f t="shared" si="0"/>
        <v>0</v>
      </c>
      <c r="G24" s="208"/>
      <c r="H24" s="208"/>
    </row>
    <row r="25" spans="1:8" ht="15.75" customHeight="1" x14ac:dyDescent="0.25">
      <c r="A25" s="212" t="s">
        <v>802</v>
      </c>
      <c r="B25" s="207" t="s">
        <v>796</v>
      </c>
      <c r="C25" s="208"/>
      <c r="D25" s="209">
        <v>45</v>
      </c>
      <c r="E25" s="210">
        <v>0</v>
      </c>
      <c r="F25" s="209">
        <f t="shared" si="0"/>
        <v>0</v>
      </c>
      <c r="G25" s="208"/>
      <c r="H25" s="208"/>
    </row>
    <row r="26" spans="1:8" ht="15.75" customHeight="1" x14ac:dyDescent="0.25">
      <c r="A26" s="212" t="s">
        <v>803</v>
      </c>
      <c r="B26" s="207" t="s">
        <v>796</v>
      </c>
      <c r="C26" s="208"/>
      <c r="D26" s="209">
        <v>13.5</v>
      </c>
      <c r="E26" s="210"/>
      <c r="F26" s="209">
        <f t="shared" si="0"/>
        <v>0</v>
      </c>
      <c r="G26" s="208"/>
      <c r="H26" s="208"/>
    </row>
    <row r="27" spans="1:8" ht="13.5" customHeight="1" x14ac:dyDescent="0.25">
      <c r="A27" s="207" t="s">
        <v>804</v>
      </c>
      <c r="B27" s="207" t="s">
        <v>796</v>
      </c>
      <c r="C27" s="208"/>
      <c r="D27" s="209">
        <v>15.5</v>
      </c>
      <c r="E27" s="210"/>
      <c r="F27" s="209">
        <f t="shared" si="0"/>
        <v>0</v>
      </c>
      <c r="G27" s="208"/>
      <c r="H27" s="208"/>
    </row>
    <row r="28" spans="1:8" ht="15.75" customHeight="1" x14ac:dyDescent="0.25">
      <c r="A28" s="212" t="s">
        <v>805</v>
      </c>
      <c r="B28" s="207" t="s">
        <v>806</v>
      </c>
      <c r="C28" s="208"/>
      <c r="D28" s="209">
        <v>13.5</v>
      </c>
      <c r="E28" s="210"/>
      <c r="F28" s="209">
        <f t="shared" si="0"/>
        <v>0</v>
      </c>
      <c r="G28" s="208"/>
      <c r="H28" s="208"/>
    </row>
    <row r="29" spans="1:8" ht="15.75" customHeight="1" x14ac:dyDescent="0.25">
      <c r="A29" s="212" t="s">
        <v>807</v>
      </c>
      <c r="B29" s="207" t="s">
        <v>806</v>
      </c>
      <c r="C29" s="208"/>
      <c r="D29" s="209">
        <v>16.5</v>
      </c>
      <c r="E29" s="210"/>
      <c r="F29" s="209">
        <f t="shared" si="0"/>
        <v>0</v>
      </c>
      <c r="G29" s="208"/>
      <c r="H29" s="208"/>
    </row>
    <row r="30" spans="1:8" ht="15.75" customHeight="1" x14ac:dyDescent="0.25">
      <c r="A30" s="212" t="s">
        <v>808</v>
      </c>
      <c r="B30" s="208"/>
      <c r="C30" s="208"/>
      <c r="D30" s="209">
        <v>4.5</v>
      </c>
      <c r="E30" s="210">
        <v>0</v>
      </c>
      <c r="F30" s="209">
        <f t="shared" si="0"/>
        <v>0</v>
      </c>
      <c r="G30" s="211" t="s">
        <v>809</v>
      </c>
      <c r="H30" s="208"/>
    </row>
    <row r="31" spans="1:8" ht="15.75" customHeight="1" x14ac:dyDescent="0.25">
      <c r="A31" s="212" t="s">
        <v>810</v>
      </c>
      <c r="B31" s="208"/>
      <c r="C31" s="208"/>
      <c r="D31" s="209">
        <v>11.5</v>
      </c>
      <c r="E31" s="210">
        <v>0</v>
      </c>
      <c r="F31" s="209">
        <f t="shared" si="0"/>
        <v>0</v>
      </c>
      <c r="G31" s="211" t="s">
        <v>809</v>
      </c>
      <c r="H31" s="208"/>
    </row>
    <row r="32" spans="1:8" ht="15.75" customHeight="1" x14ac:dyDescent="0.25">
      <c r="A32" s="212" t="s">
        <v>811</v>
      </c>
      <c r="B32" s="208"/>
      <c r="C32" s="208"/>
      <c r="D32" s="209">
        <v>13.5</v>
      </c>
      <c r="E32" s="210"/>
      <c r="F32" s="209">
        <f t="shared" si="0"/>
        <v>0</v>
      </c>
      <c r="G32" s="208"/>
      <c r="H32" s="208"/>
    </row>
    <row r="33" spans="1:8" ht="15.75" customHeight="1" x14ac:dyDescent="0.25">
      <c r="A33" s="212" t="s">
        <v>812</v>
      </c>
      <c r="B33" s="208"/>
      <c r="C33" s="207" t="s">
        <v>813</v>
      </c>
      <c r="D33" s="209">
        <v>49.5</v>
      </c>
      <c r="E33" s="210"/>
      <c r="F33" s="209">
        <f t="shared" si="0"/>
        <v>0</v>
      </c>
      <c r="G33" s="208"/>
      <c r="H33" s="208"/>
    </row>
    <row r="34" spans="1:8" ht="15.75" customHeight="1" x14ac:dyDescent="0.25">
      <c r="A34" s="212" t="s">
        <v>814</v>
      </c>
      <c r="B34" s="207" t="s">
        <v>806</v>
      </c>
      <c r="C34" s="208"/>
      <c r="D34" s="209">
        <v>20</v>
      </c>
      <c r="E34" s="210"/>
      <c r="F34" s="209">
        <f t="shared" si="0"/>
        <v>0</v>
      </c>
      <c r="G34" s="208"/>
      <c r="H34" s="208"/>
    </row>
    <row r="35" spans="1:8" ht="15.75" customHeight="1" x14ac:dyDescent="0.25">
      <c r="A35" s="212" t="s">
        <v>815</v>
      </c>
      <c r="B35" s="208"/>
      <c r="C35" s="208"/>
      <c r="D35" s="209">
        <v>11</v>
      </c>
      <c r="E35" s="210"/>
      <c r="F35" s="209">
        <f t="shared" si="0"/>
        <v>0</v>
      </c>
      <c r="G35" s="208"/>
      <c r="H35" s="208"/>
    </row>
    <row r="36" spans="1:8" ht="15.75" customHeight="1" x14ac:dyDescent="0.25">
      <c r="A36" s="212" t="s">
        <v>816</v>
      </c>
      <c r="B36" s="208"/>
      <c r="C36" s="208"/>
      <c r="D36" s="209">
        <v>17.100000000000001</v>
      </c>
      <c r="E36" s="210"/>
      <c r="F36" s="209">
        <f t="shared" si="0"/>
        <v>0</v>
      </c>
      <c r="G36" s="208"/>
      <c r="H36" s="208"/>
    </row>
    <row r="37" spans="1:8" ht="15.75" customHeight="1" x14ac:dyDescent="0.25">
      <c r="A37" s="212" t="s">
        <v>817</v>
      </c>
      <c r="B37" s="207" t="s">
        <v>818</v>
      </c>
      <c r="C37" s="208"/>
      <c r="D37" s="209">
        <v>14.75</v>
      </c>
      <c r="E37" s="210">
        <v>0</v>
      </c>
      <c r="F37" s="209">
        <f t="shared" si="0"/>
        <v>0</v>
      </c>
      <c r="G37" s="208" t="s">
        <v>778</v>
      </c>
      <c r="H37" s="208"/>
    </row>
    <row r="38" spans="1:8" ht="15.75" customHeight="1" x14ac:dyDescent="0.25">
      <c r="A38" s="212" t="s">
        <v>819</v>
      </c>
      <c r="B38" s="207" t="s">
        <v>818</v>
      </c>
      <c r="C38" s="208"/>
      <c r="D38" s="209">
        <v>2.7</v>
      </c>
      <c r="E38" s="210"/>
      <c r="F38" s="209">
        <f t="shared" si="0"/>
        <v>0</v>
      </c>
      <c r="G38" s="208"/>
      <c r="H38" s="208"/>
    </row>
    <row r="39" spans="1:8" ht="15.75" customHeight="1" x14ac:dyDescent="0.25">
      <c r="A39" s="212" t="s">
        <v>820</v>
      </c>
      <c r="B39" s="207" t="s">
        <v>818</v>
      </c>
      <c r="C39" s="208"/>
      <c r="D39" s="209">
        <v>12</v>
      </c>
      <c r="E39" s="210">
        <v>0</v>
      </c>
      <c r="F39" s="209">
        <f t="shared" si="0"/>
        <v>0</v>
      </c>
      <c r="G39" s="208" t="s">
        <v>778</v>
      </c>
      <c r="H39" s="208"/>
    </row>
    <row r="40" spans="1:8" ht="15.75" customHeight="1" x14ac:dyDescent="0.25">
      <c r="A40" s="212" t="s">
        <v>821</v>
      </c>
      <c r="B40" s="207" t="s">
        <v>818</v>
      </c>
      <c r="C40" s="208"/>
      <c r="D40" s="209">
        <v>25</v>
      </c>
      <c r="E40" s="210">
        <v>7</v>
      </c>
      <c r="F40" s="209">
        <f t="shared" si="0"/>
        <v>175</v>
      </c>
      <c r="G40" s="211" t="s">
        <v>767</v>
      </c>
      <c r="H40" s="208"/>
    </row>
    <row r="41" spans="1:8" ht="15.75" customHeight="1" x14ac:dyDescent="0.25">
      <c r="A41" s="212" t="s">
        <v>822</v>
      </c>
      <c r="B41" s="207" t="s">
        <v>818</v>
      </c>
      <c r="C41" s="208"/>
      <c r="D41" s="209">
        <v>7.6</v>
      </c>
      <c r="E41" s="210"/>
      <c r="F41" s="209">
        <f t="shared" si="0"/>
        <v>0</v>
      </c>
      <c r="G41" s="208"/>
      <c r="H41" s="208"/>
    </row>
    <row r="42" spans="1:8" ht="15.75" customHeight="1" x14ac:dyDescent="0.25">
      <c r="A42" s="212" t="s">
        <v>823</v>
      </c>
      <c r="B42" s="207" t="s">
        <v>806</v>
      </c>
      <c r="C42" s="208"/>
      <c r="D42" s="209">
        <v>9.5</v>
      </c>
      <c r="E42" s="210"/>
      <c r="F42" s="209">
        <f t="shared" si="0"/>
        <v>0</v>
      </c>
      <c r="G42" s="208"/>
      <c r="H42" s="208"/>
    </row>
    <row r="43" spans="1:8" ht="15.75" customHeight="1" x14ac:dyDescent="0.25">
      <c r="A43" s="212" t="s">
        <v>824</v>
      </c>
      <c r="B43" s="207" t="s">
        <v>806</v>
      </c>
      <c r="C43" s="208"/>
      <c r="D43" s="209">
        <v>8.8000000000000007</v>
      </c>
      <c r="E43" s="210"/>
      <c r="F43" s="209">
        <f t="shared" si="0"/>
        <v>0</v>
      </c>
      <c r="G43" s="208"/>
      <c r="H43" s="208"/>
    </row>
    <row r="44" spans="1:8" ht="20.25" customHeight="1" x14ac:dyDescent="0.25">
      <c r="A44" s="212" t="s">
        <v>825</v>
      </c>
      <c r="B44" s="207" t="s">
        <v>806</v>
      </c>
      <c r="C44" s="208"/>
      <c r="D44" s="209">
        <v>3</v>
      </c>
      <c r="E44" s="210"/>
      <c r="F44" s="209">
        <f t="shared" si="0"/>
        <v>0</v>
      </c>
      <c r="G44" s="208"/>
      <c r="H44" s="208"/>
    </row>
    <row r="45" spans="1:8" ht="15.75" customHeight="1" x14ac:dyDescent="0.25">
      <c r="A45" s="212" t="s">
        <v>826</v>
      </c>
      <c r="B45" s="207" t="s">
        <v>806</v>
      </c>
      <c r="C45" s="208"/>
      <c r="D45" s="209">
        <v>15</v>
      </c>
      <c r="E45" s="210"/>
      <c r="F45" s="209">
        <f t="shared" si="0"/>
        <v>0</v>
      </c>
      <c r="G45" s="208"/>
      <c r="H45" s="208"/>
    </row>
    <row r="46" spans="1:8" ht="15.75" customHeight="1" x14ac:dyDescent="0.25">
      <c r="A46" s="212" t="s">
        <v>827</v>
      </c>
      <c r="B46" s="207" t="s">
        <v>806</v>
      </c>
      <c r="C46" s="208"/>
      <c r="D46" s="209">
        <v>11</v>
      </c>
      <c r="E46" s="210"/>
      <c r="F46" s="209">
        <f t="shared" si="0"/>
        <v>0</v>
      </c>
      <c r="G46" s="208"/>
      <c r="H46" s="208"/>
    </row>
    <row r="47" spans="1:8" ht="15.75" customHeight="1" x14ac:dyDescent="0.25">
      <c r="A47" s="212" t="s">
        <v>828</v>
      </c>
      <c r="B47" s="207" t="s">
        <v>806</v>
      </c>
      <c r="C47" s="208"/>
      <c r="D47" s="209">
        <v>2.5</v>
      </c>
      <c r="E47" s="210"/>
      <c r="F47" s="209">
        <f t="shared" si="0"/>
        <v>0</v>
      </c>
      <c r="G47" s="208"/>
      <c r="H47" s="208"/>
    </row>
    <row r="48" spans="1:8" ht="12" customHeight="1" x14ac:dyDescent="0.25">
      <c r="A48" s="212" t="s">
        <v>829</v>
      </c>
      <c r="B48" s="207" t="s">
        <v>796</v>
      </c>
      <c r="C48" s="208"/>
      <c r="D48" s="209">
        <v>13</v>
      </c>
      <c r="E48" s="210"/>
      <c r="F48" s="209">
        <f t="shared" si="0"/>
        <v>0</v>
      </c>
      <c r="G48" s="208"/>
      <c r="H48" s="208"/>
    </row>
    <row r="49" spans="1:8" ht="15.75" customHeight="1" x14ac:dyDescent="0.25">
      <c r="A49" s="212" t="s">
        <v>830</v>
      </c>
      <c r="B49" s="207" t="s">
        <v>796</v>
      </c>
      <c r="C49" s="208"/>
      <c r="D49" s="213">
        <v>15.6</v>
      </c>
      <c r="E49" s="210"/>
      <c r="F49" s="209">
        <f t="shared" si="0"/>
        <v>0</v>
      </c>
      <c r="G49" s="208"/>
      <c r="H49" s="208"/>
    </row>
    <row r="50" spans="1:8" ht="15.75" customHeight="1" x14ac:dyDescent="0.25">
      <c r="A50" s="212" t="s">
        <v>831</v>
      </c>
      <c r="B50" s="207" t="s">
        <v>796</v>
      </c>
      <c r="C50" s="208"/>
      <c r="D50" s="209">
        <v>32</v>
      </c>
      <c r="E50" s="210"/>
      <c r="F50" s="209">
        <f t="shared" si="0"/>
        <v>0</v>
      </c>
      <c r="G50" s="209"/>
      <c r="H50" s="208"/>
    </row>
    <row r="51" spans="1:8" ht="15.75" customHeight="1" x14ac:dyDescent="0.25">
      <c r="A51" s="212" t="s">
        <v>832</v>
      </c>
      <c r="B51" s="208"/>
      <c r="C51" s="208"/>
      <c r="D51" s="209">
        <v>50</v>
      </c>
      <c r="E51" s="210">
        <v>1.9</v>
      </c>
      <c r="F51" s="209">
        <f t="shared" si="0"/>
        <v>95</v>
      </c>
      <c r="G51" s="209"/>
      <c r="H51" s="208"/>
    </row>
    <row r="52" spans="1:8" ht="15.75" customHeight="1" x14ac:dyDescent="0.25">
      <c r="A52" s="212" t="s">
        <v>833</v>
      </c>
      <c r="B52" s="208"/>
      <c r="C52" s="208"/>
      <c r="D52" s="209">
        <v>25</v>
      </c>
      <c r="E52" s="210">
        <v>6.26</v>
      </c>
      <c r="F52" s="209">
        <f t="shared" si="0"/>
        <v>156.5</v>
      </c>
      <c r="G52" s="211" t="s">
        <v>767</v>
      </c>
      <c r="H52" s="208"/>
    </row>
    <row r="53" spans="1:8" ht="15.75" customHeight="1" x14ac:dyDescent="0.25">
      <c r="A53" s="212" t="s">
        <v>834</v>
      </c>
      <c r="B53" s="207" t="s">
        <v>796</v>
      </c>
      <c r="C53" s="208"/>
      <c r="D53" s="209">
        <v>21.5</v>
      </c>
      <c r="E53" s="210"/>
      <c r="F53" s="209">
        <f t="shared" si="0"/>
        <v>0</v>
      </c>
      <c r="G53" s="208"/>
      <c r="H53" s="208"/>
    </row>
    <row r="54" spans="1:8" ht="15.75" customHeight="1" x14ac:dyDescent="0.25">
      <c r="A54" s="212" t="s">
        <v>835</v>
      </c>
      <c r="B54" s="207" t="s">
        <v>796</v>
      </c>
      <c r="C54" s="208"/>
      <c r="D54" s="209">
        <v>16</v>
      </c>
      <c r="E54" s="210">
        <v>2</v>
      </c>
      <c r="F54" s="209">
        <f t="shared" si="0"/>
        <v>32</v>
      </c>
      <c r="G54" s="208"/>
      <c r="H54" s="208"/>
    </row>
    <row r="55" spans="1:8" ht="15.75" customHeight="1" x14ac:dyDescent="0.25">
      <c r="A55" s="212" t="s">
        <v>836</v>
      </c>
      <c r="B55" s="207" t="s">
        <v>796</v>
      </c>
      <c r="C55" s="208"/>
      <c r="D55" s="209">
        <v>14</v>
      </c>
      <c r="E55" s="210"/>
      <c r="F55" s="209">
        <f t="shared" si="0"/>
        <v>0</v>
      </c>
      <c r="G55" s="208"/>
      <c r="H55" s="208"/>
    </row>
    <row r="56" spans="1:8" ht="15.75" customHeight="1" x14ac:dyDescent="0.25">
      <c r="A56" s="212" t="s">
        <v>837</v>
      </c>
      <c r="B56" s="207" t="s">
        <v>796</v>
      </c>
      <c r="C56" s="208"/>
      <c r="D56" s="209">
        <v>19.899999999999999</v>
      </c>
      <c r="E56" s="210">
        <v>5.2</v>
      </c>
      <c r="F56" s="209">
        <f t="shared" si="0"/>
        <v>103.47999999999999</v>
      </c>
      <c r="G56" s="214" t="s">
        <v>767</v>
      </c>
      <c r="H56" s="208"/>
    </row>
    <row r="57" spans="1:8" ht="15.75" customHeight="1" x14ac:dyDescent="0.25">
      <c r="A57" s="212" t="s">
        <v>838</v>
      </c>
      <c r="B57" s="208"/>
      <c r="C57" s="208"/>
      <c r="D57" s="209">
        <v>21</v>
      </c>
      <c r="E57" s="210"/>
      <c r="F57" s="209">
        <f t="shared" si="0"/>
        <v>0</v>
      </c>
      <c r="G57" s="207"/>
      <c r="H57" s="208"/>
    </row>
    <row r="58" spans="1:8" ht="15.75" customHeight="1" x14ac:dyDescent="0.25">
      <c r="A58" s="212" t="s">
        <v>839</v>
      </c>
      <c r="B58" s="208"/>
      <c r="C58" s="214" t="s">
        <v>840</v>
      </c>
      <c r="D58" s="209">
        <v>70</v>
      </c>
      <c r="E58" s="210">
        <v>0</v>
      </c>
      <c r="F58" s="209">
        <f t="shared" si="0"/>
        <v>0</v>
      </c>
      <c r="G58" s="211" t="s">
        <v>778</v>
      </c>
      <c r="H58" s="208"/>
    </row>
    <row r="59" spans="1:8" ht="13.5" customHeight="1" x14ac:dyDescent="0.25">
      <c r="A59" s="207" t="s">
        <v>841</v>
      </c>
      <c r="B59" s="207" t="s">
        <v>796</v>
      </c>
      <c r="C59" s="208"/>
      <c r="D59" s="209">
        <v>25</v>
      </c>
      <c r="E59" s="210"/>
      <c r="F59" s="209">
        <f t="shared" si="0"/>
        <v>0</v>
      </c>
      <c r="G59" s="208"/>
      <c r="H59" s="208"/>
    </row>
    <row r="60" spans="1:8" ht="13.5" customHeight="1" x14ac:dyDescent="0.25">
      <c r="A60" s="207" t="s">
        <v>842</v>
      </c>
      <c r="B60" s="207" t="s">
        <v>796</v>
      </c>
      <c r="C60" s="208"/>
      <c r="D60" s="209">
        <v>22</v>
      </c>
      <c r="E60" s="210"/>
      <c r="F60" s="209">
        <f t="shared" si="0"/>
        <v>0</v>
      </c>
      <c r="G60" s="208"/>
      <c r="H60" s="208"/>
    </row>
    <row r="61" spans="1:8" ht="15.75" customHeight="1" x14ac:dyDescent="0.25">
      <c r="A61" s="212" t="s">
        <v>843</v>
      </c>
      <c r="B61" s="207" t="s">
        <v>796</v>
      </c>
      <c r="C61" s="208"/>
      <c r="D61" s="209">
        <v>25</v>
      </c>
      <c r="E61" s="210"/>
      <c r="F61" s="209">
        <f t="shared" si="0"/>
        <v>0</v>
      </c>
      <c r="G61" s="208"/>
      <c r="H61" s="208"/>
    </row>
    <row r="62" spans="1:8" ht="15.75" customHeight="1" x14ac:dyDescent="0.25">
      <c r="A62" s="212" t="s">
        <v>844</v>
      </c>
      <c r="B62" s="207" t="s">
        <v>796</v>
      </c>
      <c r="C62" s="208"/>
      <c r="D62" s="209">
        <v>14</v>
      </c>
      <c r="E62" s="210"/>
      <c r="F62" s="209">
        <f t="shared" si="0"/>
        <v>0</v>
      </c>
      <c r="G62" s="208"/>
      <c r="H62" s="208"/>
    </row>
    <row r="63" spans="1:8" ht="13.5" customHeight="1" x14ac:dyDescent="0.25">
      <c r="A63" s="207" t="s">
        <v>845</v>
      </c>
      <c r="B63" s="207" t="s">
        <v>796</v>
      </c>
      <c r="C63" s="208"/>
      <c r="D63" s="209">
        <v>18</v>
      </c>
      <c r="E63" s="210"/>
      <c r="F63" s="209">
        <f t="shared" si="0"/>
        <v>0</v>
      </c>
      <c r="G63" s="208"/>
      <c r="H63" s="208"/>
    </row>
    <row r="64" spans="1:8" ht="15.75" customHeight="1" x14ac:dyDescent="0.25">
      <c r="A64" s="212" t="s">
        <v>846</v>
      </c>
      <c r="B64" s="208"/>
      <c r="C64" s="208"/>
      <c r="D64" s="209">
        <v>18</v>
      </c>
      <c r="E64" s="210"/>
      <c r="F64" s="209">
        <f t="shared" si="0"/>
        <v>0</v>
      </c>
      <c r="G64" s="208"/>
      <c r="H64" s="208"/>
    </row>
    <row r="65" spans="1:8" ht="15.75" customHeight="1" x14ac:dyDescent="0.25">
      <c r="A65" s="212" t="s">
        <v>847</v>
      </c>
      <c r="B65" s="208"/>
      <c r="C65" s="208"/>
      <c r="D65" s="209">
        <v>17</v>
      </c>
      <c r="E65" s="210"/>
      <c r="F65" s="209">
        <f t="shared" si="0"/>
        <v>0</v>
      </c>
      <c r="G65" s="208"/>
      <c r="H65" s="208"/>
    </row>
    <row r="66" spans="1:8" ht="15.75" customHeight="1" x14ac:dyDescent="0.25">
      <c r="A66" s="212" t="s">
        <v>848</v>
      </c>
      <c r="B66" s="207" t="s">
        <v>796</v>
      </c>
      <c r="C66" s="208"/>
      <c r="D66" s="209">
        <v>26</v>
      </c>
      <c r="E66" s="210">
        <v>1.27</v>
      </c>
      <c r="F66" s="209">
        <f t="shared" ref="F66:F131" si="1">D66:D66*E66:E66</f>
        <v>33.020000000000003</v>
      </c>
      <c r="G66" s="211" t="s">
        <v>767</v>
      </c>
      <c r="H66" s="208"/>
    </row>
    <row r="67" spans="1:8" ht="13.5" customHeight="1" x14ac:dyDescent="0.25">
      <c r="A67" s="207" t="s">
        <v>849</v>
      </c>
      <c r="B67" s="207" t="s">
        <v>796</v>
      </c>
      <c r="C67" s="208"/>
      <c r="D67" s="209">
        <f>9.25*1.8</f>
        <v>16.650000000000002</v>
      </c>
      <c r="E67" s="210"/>
      <c r="F67" s="209">
        <f t="shared" si="1"/>
        <v>0</v>
      </c>
      <c r="G67" s="208"/>
      <c r="H67" s="208"/>
    </row>
    <row r="68" spans="1:8" ht="13.5" customHeight="1" x14ac:dyDescent="0.25">
      <c r="A68" s="207" t="s">
        <v>850</v>
      </c>
      <c r="B68" s="207" t="s">
        <v>796</v>
      </c>
      <c r="C68" s="208"/>
      <c r="D68" s="209">
        <v>70</v>
      </c>
      <c r="E68" s="210">
        <v>0</v>
      </c>
      <c r="F68" s="209">
        <f t="shared" si="1"/>
        <v>0</v>
      </c>
      <c r="G68" s="211"/>
      <c r="H68" s="208"/>
    </row>
    <row r="69" spans="1:8" ht="15.75" customHeight="1" x14ac:dyDescent="0.25">
      <c r="A69" s="212" t="s">
        <v>851</v>
      </c>
      <c r="B69" s="208"/>
      <c r="C69" s="208"/>
      <c r="D69" s="209">
        <v>15</v>
      </c>
      <c r="E69" s="210"/>
      <c r="F69" s="209">
        <f t="shared" si="1"/>
        <v>0</v>
      </c>
      <c r="G69" s="208"/>
      <c r="H69" s="208"/>
    </row>
    <row r="70" spans="1:8" ht="15.75" customHeight="1" x14ac:dyDescent="0.25">
      <c r="A70" s="212" t="s">
        <v>852</v>
      </c>
      <c r="B70" s="208"/>
      <c r="C70" s="208"/>
      <c r="D70" s="209">
        <v>17</v>
      </c>
      <c r="E70" s="210">
        <v>0</v>
      </c>
      <c r="F70" s="209">
        <f t="shared" si="1"/>
        <v>0</v>
      </c>
      <c r="G70" s="211" t="s">
        <v>809</v>
      </c>
      <c r="H70" s="208"/>
    </row>
    <row r="71" spans="1:8" ht="15.75" customHeight="1" x14ac:dyDescent="0.25">
      <c r="A71" s="212" t="s">
        <v>853</v>
      </c>
      <c r="B71" s="208"/>
      <c r="C71" s="208"/>
      <c r="D71" s="209">
        <v>19</v>
      </c>
      <c r="E71" s="210">
        <v>2.72</v>
      </c>
      <c r="F71" s="209">
        <f t="shared" si="1"/>
        <v>51.680000000000007</v>
      </c>
      <c r="G71" s="211" t="s">
        <v>767</v>
      </c>
      <c r="H71" s="208"/>
    </row>
    <row r="72" spans="1:8" ht="15.75" customHeight="1" x14ac:dyDescent="0.25">
      <c r="A72" s="212" t="s">
        <v>854</v>
      </c>
      <c r="B72" s="207" t="s">
        <v>796</v>
      </c>
      <c r="C72" s="208"/>
      <c r="D72" s="209">
        <v>15</v>
      </c>
      <c r="E72" s="210"/>
      <c r="F72" s="209">
        <f t="shared" si="1"/>
        <v>0</v>
      </c>
      <c r="G72" s="208"/>
      <c r="H72" s="208"/>
    </row>
    <row r="73" spans="1:8" ht="15.75" customHeight="1" x14ac:dyDescent="0.25">
      <c r="A73" s="212" t="s">
        <v>855</v>
      </c>
      <c r="B73" s="207" t="s">
        <v>796</v>
      </c>
      <c r="C73" s="208"/>
      <c r="D73" s="209">
        <v>6</v>
      </c>
      <c r="E73" s="210">
        <v>0</v>
      </c>
      <c r="F73" s="209">
        <f t="shared" si="1"/>
        <v>0</v>
      </c>
      <c r="G73" s="208"/>
      <c r="H73" s="208"/>
    </row>
    <row r="74" spans="1:8" ht="15.75" customHeight="1" x14ac:dyDescent="0.25">
      <c r="A74" s="212" t="s">
        <v>856</v>
      </c>
      <c r="B74" s="207"/>
      <c r="C74" s="208"/>
      <c r="D74" s="209">
        <v>9</v>
      </c>
      <c r="E74" s="210">
        <v>0</v>
      </c>
      <c r="F74" s="209">
        <f>D74:D74*E74:E74</f>
        <v>0</v>
      </c>
      <c r="G74" s="208" t="s">
        <v>809</v>
      </c>
      <c r="H74" s="208"/>
    </row>
    <row r="75" spans="1:8" ht="15.6" customHeight="1" x14ac:dyDescent="0.25">
      <c r="A75" s="212" t="s">
        <v>857</v>
      </c>
      <c r="B75" s="207" t="s">
        <v>796</v>
      </c>
      <c r="C75" s="208"/>
      <c r="D75" s="209">
        <v>9.24</v>
      </c>
      <c r="E75" s="210"/>
      <c r="F75" s="209">
        <f t="shared" si="1"/>
        <v>0</v>
      </c>
      <c r="G75" s="208"/>
      <c r="H75" s="208"/>
    </row>
    <row r="76" spans="1:8" ht="15.75" customHeight="1" x14ac:dyDescent="0.25">
      <c r="A76" s="212" t="s">
        <v>858</v>
      </c>
      <c r="B76" s="207" t="s">
        <v>796</v>
      </c>
      <c r="C76" s="208"/>
      <c r="D76" s="209">
        <v>44</v>
      </c>
      <c r="E76" s="210"/>
      <c r="F76" s="209">
        <f t="shared" si="1"/>
        <v>0</v>
      </c>
      <c r="G76" s="208"/>
      <c r="H76" s="208"/>
    </row>
    <row r="77" spans="1:8" ht="15.75" customHeight="1" x14ac:dyDescent="0.25">
      <c r="A77" s="212" t="s">
        <v>859</v>
      </c>
      <c r="B77" s="207" t="s">
        <v>796</v>
      </c>
      <c r="C77" s="208"/>
      <c r="D77" s="209">
        <v>8.9</v>
      </c>
      <c r="E77" s="210"/>
      <c r="F77" s="209">
        <f t="shared" si="1"/>
        <v>0</v>
      </c>
      <c r="G77" s="208"/>
      <c r="H77" s="208"/>
    </row>
    <row r="78" spans="1:8" ht="15.75" customHeight="1" x14ac:dyDescent="0.25">
      <c r="A78" s="212" t="s">
        <v>860</v>
      </c>
      <c r="B78" s="208"/>
      <c r="C78" s="208"/>
      <c r="D78" s="209">
        <v>9</v>
      </c>
      <c r="E78" s="210"/>
      <c r="F78" s="209">
        <f t="shared" si="1"/>
        <v>0</v>
      </c>
      <c r="G78" s="208"/>
      <c r="H78" s="208"/>
    </row>
    <row r="79" spans="1:8" ht="15.75" customHeight="1" x14ac:dyDescent="0.25">
      <c r="A79" s="212" t="s">
        <v>861</v>
      </c>
      <c r="B79" s="208"/>
      <c r="C79" s="208"/>
      <c r="D79" s="209">
        <v>17</v>
      </c>
      <c r="E79" s="210"/>
      <c r="F79" s="209">
        <f t="shared" si="1"/>
        <v>0</v>
      </c>
      <c r="G79" s="208"/>
      <c r="H79" s="208"/>
    </row>
    <row r="80" spans="1:8" ht="15.75" customHeight="1" x14ac:dyDescent="0.25">
      <c r="A80" s="212" t="s">
        <v>862</v>
      </c>
      <c r="B80" s="208"/>
      <c r="C80" s="208"/>
      <c r="D80" s="209">
        <v>24</v>
      </c>
      <c r="E80" s="210"/>
      <c r="F80" s="209">
        <f t="shared" si="1"/>
        <v>0</v>
      </c>
      <c r="G80" s="209"/>
      <c r="H80" s="208"/>
    </row>
    <row r="81" spans="1:8" ht="15.75" customHeight="1" x14ac:dyDescent="0.25">
      <c r="A81" s="212" t="s">
        <v>863</v>
      </c>
      <c r="B81" s="208"/>
      <c r="C81" s="208"/>
      <c r="D81" s="209">
        <v>15</v>
      </c>
      <c r="E81" s="210"/>
      <c r="F81" s="209">
        <f t="shared" si="1"/>
        <v>0</v>
      </c>
      <c r="G81" s="209"/>
      <c r="H81" s="208"/>
    </row>
    <row r="82" spans="1:8" ht="15.75" customHeight="1" x14ac:dyDescent="0.25">
      <c r="A82" s="212" t="s">
        <v>864</v>
      </c>
      <c r="B82" s="207" t="s">
        <v>796</v>
      </c>
      <c r="C82" s="208"/>
      <c r="D82" s="209">
        <v>14.5</v>
      </c>
      <c r="E82" s="210"/>
      <c r="F82" s="209">
        <f t="shared" si="1"/>
        <v>0</v>
      </c>
      <c r="G82" s="208"/>
      <c r="H82" s="208"/>
    </row>
    <row r="83" spans="1:8" ht="15.75" customHeight="1" x14ac:dyDescent="0.25">
      <c r="A83" s="212" t="s">
        <v>865</v>
      </c>
      <c r="B83" s="208"/>
      <c r="C83" s="208"/>
      <c r="D83" s="209">
        <v>29</v>
      </c>
      <c r="E83" s="210">
        <v>0</v>
      </c>
      <c r="F83" s="209">
        <f t="shared" si="1"/>
        <v>0</v>
      </c>
      <c r="G83" s="208"/>
      <c r="H83" s="208"/>
    </row>
    <row r="84" spans="1:8" ht="15.75" customHeight="1" x14ac:dyDescent="0.25">
      <c r="A84" s="212" t="s">
        <v>866</v>
      </c>
      <c r="B84" s="207" t="s">
        <v>796</v>
      </c>
      <c r="C84" s="208"/>
      <c r="D84" s="209">
        <v>33</v>
      </c>
      <c r="E84" s="210"/>
      <c r="F84" s="209">
        <f t="shared" si="1"/>
        <v>0</v>
      </c>
      <c r="G84" s="208"/>
      <c r="H84" s="208"/>
    </row>
    <row r="85" spans="1:8" ht="15.75" customHeight="1" x14ac:dyDescent="0.25">
      <c r="A85" s="212" t="s">
        <v>867</v>
      </c>
      <c r="B85" s="207" t="s">
        <v>796</v>
      </c>
      <c r="C85" s="208"/>
      <c r="D85" s="209">
        <v>6</v>
      </c>
      <c r="E85" s="210"/>
      <c r="F85" s="209">
        <f t="shared" si="1"/>
        <v>0</v>
      </c>
      <c r="G85" s="208"/>
      <c r="H85" s="208"/>
    </row>
    <row r="86" spans="1:8" ht="15.75" customHeight="1" x14ac:dyDescent="0.25">
      <c r="A86" s="212" t="s">
        <v>868</v>
      </c>
      <c r="B86" s="207"/>
      <c r="C86" s="208"/>
      <c r="D86" s="209">
        <v>23</v>
      </c>
      <c r="E86" s="210">
        <v>0</v>
      </c>
      <c r="F86" s="209">
        <f t="shared" si="1"/>
        <v>0</v>
      </c>
      <c r="G86" s="211" t="s">
        <v>809</v>
      </c>
      <c r="H86" s="208"/>
    </row>
    <row r="87" spans="1:8" ht="15.75" customHeight="1" x14ac:dyDescent="0.25">
      <c r="A87" s="212" t="s">
        <v>869</v>
      </c>
      <c r="B87" s="207" t="s">
        <v>870</v>
      </c>
      <c r="C87" s="208"/>
      <c r="D87" s="209">
        <v>13.5</v>
      </c>
      <c r="E87" s="210"/>
      <c r="F87" s="209">
        <f t="shared" si="1"/>
        <v>0</v>
      </c>
      <c r="G87" s="208"/>
      <c r="H87" s="208"/>
    </row>
    <row r="88" spans="1:8" ht="15.75" customHeight="1" x14ac:dyDescent="0.25">
      <c r="A88" s="212" t="s">
        <v>871</v>
      </c>
      <c r="B88" s="207" t="s">
        <v>870</v>
      </c>
      <c r="C88" s="208"/>
      <c r="D88" s="209">
        <v>14</v>
      </c>
      <c r="E88" s="210"/>
      <c r="F88" s="209">
        <f t="shared" si="1"/>
        <v>0</v>
      </c>
      <c r="G88" s="208"/>
      <c r="H88" s="208"/>
    </row>
    <row r="89" spans="1:8" ht="10.5" customHeight="1" x14ac:dyDescent="0.25">
      <c r="A89" s="212" t="s">
        <v>872</v>
      </c>
      <c r="B89" s="207" t="s">
        <v>870</v>
      </c>
      <c r="C89" s="208"/>
      <c r="D89" s="209">
        <v>18</v>
      </c>
      <c r="E89" s="210"/>
      <c r="F89" s="209">
        <f t="shared" si="1"/>
        <v>0</v>
      </c>
      <c r="G89" s="208"/>
      <c r="H89" s="208"/>
    </row>
    <row r="90" spans="1:8" ht="15.75" customHeight="1" x14ac:dyDescent="0.25">
      <c r="A90" s="212" t="s">
        <v>873</v>
      </c>
      <c r="B90" s="207" t="s">
        <v>870</v>
      </c>
      <c r="C90" s="208"/>
      <c r="D90" s="209">
        <v>32</v>
      </c>
      <c r="E90" s="210"/>
      <c r="F90" s="209">
        <f t="shared" si="1"/>
        <v>0</v>
      </c>
      <c r="G90" s="208"/>
      <c r="H90" s="208"/>
    </row>
    <row r="91" spans="1:8" ht="15.75" customHeight="1" x14ac:dyDescent="0.25">
      <c r="A91" s="212" t="s">
        <v>874</v>
      </c>
      <c r="B91" s="207" t="s">
        <v>870</v>
      </c>
      <c r="C91" s="208"/>
      <c r="D91" s="209">
        <v>26.45</v>
      </c>
      <c r="E91" s="210"/>
      <c r="F91" s="209">
        <f t="shared" si="1"/>
        <v>0</v>
      </c>
      <c r="G91" s="208"/>
      <c r="H91" s="208"/>
    </row>
    <row r="92" spans="1:8" ht="15.75" customHeight="1" x14ac:dyDescent="0.25">
      <c r="A92" s="212" t="s">
        <v>875</v>
      </c>
      <c r="B92" s="207" t="s">
        <v>876</v>
      </c>
      <c r="C92" s="208"/>
      <c r="D92" s="209">
        <v>16</v>
      </c>
      <c r="E92" s="210"/>
      <c r="F92" s="209">
        <f t="shared" si="1"/>
        <v>0</v>
      </c>
      <c r="G92" s="208"/>
      <c r="H92" s="208"/>
    </row>
    <row r="93" spans="1:8" ht="19.5" customHeight="1" x14ac:dyDescent="0.25">
      <c r="A93" s="212" t="s">
        <v>877</v>
      </c>
      <c r="B93" s="207" t="s">
        <v>876</v>
      </c>
      <c r="C93" s="208"/>
      <c r="D93" s="209">
        <v>55</v>
      </c>
      <c r="E93" s="210"/>
      <c r="F93" s="209">
        <f t="shared" si="1"/>
        <v>0</v>
      </c>
      <c r="G93" s="208"/>
      <c r="H93" s="208"/>
    </row>
    <row r="94" spans="1:8" ht="20.25" customHeight="1" x14ac:dyDescent="0.25">
      <c r="A94" s="212" t="s">
        <v>878</v>
      </c>
      <c r="B94" s="207" t="s">
        <v>876</v>
      </c>
      <c r="C94" s="208"/>
      <c r="D94" s="209">
        <v>49.95</v>
      </c>
      <c r="E94" s="210">
        <v>0.5</v>
      </c>
      <c r="F94" s="209">
        <f t="shared" si="1"/>
        <v>24.975000000000001</v>
      </c>
      <c r="G94" s="208"/>
      <c r="H94" s="208"/>
    </row>
    <row r="95" spans="1:8" ht="16.5" customHeight="1" x14ac:dyDescent="0.25">
      <c r="A95" s="212" t="s">
        <v>879</v>
      </c>
      <c r="B95" s="207" t="s">
        <v>880</v>
      </c>
      <c r="C95" s="208"/>
      <c r="D95" s="209">
        <v>50</v>
      </c>
      <c r="E95" s="210"/>
      <c r="F95" s="209">
        <f t="shared" si="1"/>
        <v>0</v>
      </c>
      <c r="G95" s="209"/>
      <c r="H95" s="208"/>
    </row>
    <row r="96" spans="1:8" ht="15.75" customHeight="1" x14ac:dyDescent="0.25">
      <c r="A96" s="212" t="s">
        <v>881</v>
      </c>
      <c r="B96" s="208"/>
      <c r="C96" s="208"/>
      <c r="D96" s="209">
        <v>35</v>
      </c>
      <c r="E96" s="210">
        <v>0</v>
      </c>
      <c r="F96" s="209">
        <f t="shared" si="1"/>
        <v>0</v>
      </c>
      <c r="G96" s="207" t="s">
        <v>882</v>
      </c>
      <c r="H96" s="208"/>
    </row>
    <row r="97" spans="1:8" ht="15.75" customHeight="1" x14ac:dyDescent="0.25">
      <c r="A97" s="212" t="s">
        <v>883</v>
      </c>
      <c r="B97" s="207" t="s">
        <v>884</v>
      </c>
      <c r="C97" s="208"/>
      <c r="D97" s="209">
        <v>7.5</v>
      </c>
      <c r="E97" s="210">
        <v>0</v>
      </c>
      <c r="F97" s="209">
        <f t="shared" si="1"/>
        <v>0</v>
      </c>
      <c r="G97" s="208"/>
      <c r="H97" s="208"/>
    </row>
    <row r="98" spans="1:8" ht="15.75" customHeight="1" x14ac:dyDescent="0.25">
      <c r="A98" s="212" t="s">
        <v>885</v>
      </c>
      <c r="B98" s="207" t="s">
        <v>884</v>
      </c>
      <c r="C98" s="208"/>
      <c r="D98" s="209">
        <v>12.65</v>
      </c>
      <c r="E98" s="210"/>
      <c r="F98" s="209">
        <f t="shared" si="1"/>
        <v>0</v>
      </c>
      <c r="G98" s="208"/>
      <c r="H98" s="208"/>
    </row>
    <row r="99" spans="1:8" ht="15.75" customHeight="1" x14ac:dyDescent="0.25">
      <c r="A99" s="212" t="s">
        <v>886</v>
      </c>
      <c r="B99" s="208"/>
      <c r="C99" s="215">
        <v>16.399999999999999</v>
      </c>
      <c r="D99" s="215">
        <v>16.399999999999999</v>
      </c>
      <c r="E99" s="210"/>
      <c r="F99" s="209">
        <f t="shared" si="1"/>
        <v>0</v>
      </c>
      <c r="G99" s="208">
        <v>14.36</v>
      </c>
      <c r="H99" s="208"/>
    </row>
    <row r="100" spans="1:8" ht="15.75" customHeight="1" x14ac:dyDescent="0.25">
      <c r="A100" s="212" t="s">
        <v>887</v>
      </c>
      <c r="B100" s="208"/>
      <c r="C100" s="208"/>
      <c r="D100" s="209">
        <v>2.6</v>
      </c>
      <c r="E100" s="210"/>
      <c r="F100" s="209">
        <f t="shared" si="1"/>
        <v>0</v>
      </c>
      <c r="G100" s="208"/>
      <c r="H100" s="208"/>
    </row>
    <row r="101" spans="1:8" ht="15.75" customHeight="1" x14ac:dyDescent="0.25">
      <c r="A101" s="212" t="s">
        <v>888</v>
      </c>
      <c r="B101" s="208"/>
      <c r="C101" s="208"/>
      <c r="D101" s="209">
        <v>7.5</v>
      </c>
      <c r="E101" s="210"/>
      <c r="F101" s="209">
        <f t="shared" si="1"/>
        <v>0</v>
      </c>
      <c r="G101" s="208"/>
      <c r="H101" s="208"/>
    </row>
    <row r="102" spans="1:8" ht="15.75" customHeight="1" x14ac:dyDescent="0.25">
      <c r="A102" s="212" t="s">
        <v>889</v>
      </c>
      <c r="B102" s="208"/>
      <c r="C102" s="208"/>
      <c r="D102" s="209">
        <v>14.8</v>
      </c>
      <c r="E102" s="210"/>
      <c r="F102" s="209">
        <f t="shared" si="1"/>
        <v>0</v>
      </c>
      <c r="G102" s="208"/>
      <c r="H102" s="208"/>
    </row>
    <row r="103" spans="1:8" ht="15.75" customHeight="1" x14ac:dyDescent="0.25">
      <c r="A103" s="212" t="s">
        <v>890</v>
      </c>
      <c r="B103" s="207" t="s">
        <v>884</v>
      </c>
      <c r="C103" s="208"/>
      <c r="D103" s="209">
        <v>15</v>
      </c>
      <c r="E103" s="210">
        <v>45</v>
      </c>
      <c r="F103" s="209">
        <f t="shared" si="1"/>
        <v>675</v>
      </c>
      <c r="G103" s="208" t="s">
        <v>767</v>
      </c>
      <c r="H103" s="208"/>
    </row>
    <row r="104" spans="1:8" ht="15.75" customHeight="1" x14ac:dyDescent="0.25">
      <c r="A104" s="212" t="s">
        <v>891</v>
      </c>
      <c r="B104" s="208"/>
      <c r="C104" s="208"/>
      <c r="D104" s="209">
        <v>96</v>
      </c>
      <c r="E104" s="210"/>
      <c r="F104" s="209">
        <f t="shared" si="1"/>
        <v>0</v>
      </c>
      <c r="G104" s="208"/>
      <c r="H104" s="208"/>
    </row>
    <row r="105" spans="1:8" ht="13.5" customHeight="1" x14ac:dyDescent="0.25">
      <c r="A105" s="211" t="s">
        <v>892</v>
      </c>
      <c r="B105" s="211" t="s">
        <v>893</v>
      </c>
      <c r="C105" s="214"/>
      <c r="D105" s="213">
        <v>14.5</v>
      </c>
      <c r="E105" s="210"/>
      <c r="F105" s="209">
        <f t="shared" si="1"/>
        <v>0</v>
      </c>
      <c r="G105" s="208"/>
      <c r="H105" s="208"/>
    </row>
    <row r="106" spans="1:8" ht="13.5" customHeight="1" x14ac:dyDescent="0.25">
      <c r="A106" s="211" t="s">
        <v>894</v>
      </c>
      <c r="B106" s="211" t="s">
        <v>893</v>
      </c>
      <c r="C106" s="214"/>
      <c r="D106" s="213">
        <v>29.95</v>
      </c>
      <c r="E106" s="210"/>
      <c r="F106" s="209">
        <f t="shared" si="1"/>
        <v>0</v>
      </c>
      <c r="G106" s="211" t="s">
        <v>809</v>
      </c>
      <c r="H106" s="208"/>
    </row>
    <row r="107" spans="1:8" ht="13.5" customHeight="1" x14ac:dyDescent="0.25">
      <c r="A107" s="211" t="s">
        <v>895</v>
      </c>
      <c r="B107" s="211" t="s">
        <v>893</v>
      </c>
      <c r="C107" s="211" t="s">
        <v>896</v>
      </c>
      <c r="D107" s="213">
        <v>30.95</v>
      </c>
      <c r="E107" s="210">
        <v>0</v>
      </c>
      <c r="F107" s="209">
        <f t="shared" si="1"/>
        <v>0</v>
      </c>
      <c r="G107" s="208"/>
      <c r="H107" s="208"/>
    </row>
    <row r="108" spans="1:8" ht="17.25" customHeight="1" x14ac:dyDescent="0.25">
      <c r="A108" s="211" t="s">
        <v>897</v>
      </c>
      <c r="B108" s="211" t="s">
        <v>893</v>
      </c>
      <c r="C108" s="214"/>
      <c r="D108" s="213">
        <v>33.950000000000003</v>
      </c>
      <c r="E108" s="210"/>
      <c r="F108" s="209">
        <f t="shared" si="1"/>
        <v>0</v>
      </c>
      <c r="G108" s="208"/>
      <c r="H108" s="208"/>
    </row>
    <row r="109" spans="1:8" ht="15.75" customHeight="1" x14ac:dyDescent="0.25">
      <c r="A109" s="212" t="s">
        <v>898</v>
      </c>
      <c r="B109" s="214"/>
      <c r="C109" s="214"/>
      <c r="D109" s="213">
        <v>57.95</v>
      </c>
      <c r="E109" s="210">
        <v>1.53</v>
      </c>
      <c r="F109" s="209">
        <f t="shared" si="1"/>
        <v>88.663499999999999</v>
      </c>
      <c r="G109" s="211" t="s">
        <v>767</v>
      </c>
      <c r="H109" s="208"/>
    </row>
    <row r="110" spans="1:8" ht="13.5" customHeight="1" x14ac:dyDescent="0.25">
      <c r="A110" s="211" t="s">
        <v>899</v>
      </c>
      <c r="B110" s="211" t="s">
        <v>893</v>
      </c>
      <c r="C110" s="214"/>
      <c r="D110" s="213">
        <v>34.950000000000003</v>
      </c>
      <c r="E110" s="210">
        <v>0</v>
      </c>
      <c r="F110" s="209">
        <f t="shared" si="1"/>
        <v>0</v>
      </c>
      <c r="G110" s="211" t="s">
        <v>900</v>
      </c>
      <c r="H110" s="208" t="s">
        <v>901</v>
      </c>
    </row>
    <row r="111" spans="1:8" ht="13.5" customHeight="1" x14ac:dyDescent="0.25">
      <c r="A111" s="211" t="s">
        <v>902</v>
      </c>
      <c r="B111" s="211" t="s">
        <v>893</v>
      </c>
      <c r="C111" s="214"/>
      <c r="D111" s="213">
        <v>109.95</v>
      </c>
      <c r="E111" s="210">
        <v>2.1</v>
      </c>
      <c r="F111" s="209">
        <f t="shared" si="1"/>
        <v>230.89500000000001</v>
      </c>
      <c r="G111" s="211" t="s">
        <v>767</v>
      </c>
      <c r="H111" s="208" t="s">
        <v>901</v>
      </c>
    </row>
    <row r="112" spans="1:8" ht="15.75" customHeight="1" x14ac:dyDescent="0.25">
      <c r="A112" s="212" t="s">
        <v>903</v>
      </c>
      <c r="B112" s="214"/>
      <c r="C112" s="214"/>
      <c r="D112" s="213">
        <v>69.95</v>
      </c>
      <c r="E112" s="210">
        <v>0</v>
      </c>
      <c r="F112" s="209">
        <f t="shared" si="1"/>
        <v>0</v>
      </c>
      <c r="G112" s="211" t="s">
        <v>778</v>
      </c>
      <c r="H112" s="208"/>
    </row>
    <row r="113" spans="1:8" ht="15.75" customHeight="1" x14ac:dyDescent="0.25">
      <c r="A113" s="212" t="s">
        <v>904</v>
      </c>
      <c r="B113" s="214"/>
      <c r="C113" s="214"/>
      <c r="D113" s="213">
        <v>49.95</v>
      </c>
      <c r="E113" s="210"/>
      <c r="F113" s="209">
        <f t="shared" si="1"/>
        <v>0</v>
      </c>
      <c r="G113" s="209"/>
      <c r="H113" s="208"/>
    </row>
    <row r="114" spans="1:8" ht="15.75" customHeight="1" x14ac:dyDescent="0.25">
      <c r="A114" s="212" t="s">
        <v>905</v>
      </c>
      <c r="B114" s="211" t="s">
        <v>893</v>
      </c>
      <c r="C114" s="214"/>
      <c r="D114" s="213">
        <v>39.5</v>
      </c>
      <c r="E114" s="210">
        <v>1.4179999999999999</v>
      </c>
      <c r="F114" s="209">
        <f t="shared" si="1"/>
        <v>56.010999999999996</v>
      </c>
      <c r="G114" s="211" t="s">
        <v>767</v>
      </c>
      <c r="H114" s="208"/>
    </row>
    <row r="115" spans="1:8" ht="15.75" customHeight="1" x14ac:dyDescent="0.25">
      <c r="A115" s="212" t="s">
        <v>906</v>
      </c>
      <c r="B115" s="214"/>
      <c r="C115" s="214"/>
      <c r="D115" s="213">
        <v>36</v>
      </c>
      <c r="E115" s="210">
        <v>0.99</v>
      </c>
      <c r="F115" s="209">
        <f t="shared" si="1"/>
        <v>35.64</v>
      </c>
      <c r="G115" s="211" t="s">
        <v>785</v>
      </c>
      <c r="H115" s="208"/>
    </row>
    <row r="116" spans="1:8" ht="15.75" customHeight="1" x14ac:dyDescent="0.25">
      <c r="A116" s="212" t="s">
        <v>907</v>
      </c>
      <c r="B116" s="211" t="s">
        <v>893</v>
      </c>
      <c r="C116" s="214"/>
      <c r="D116" s="213">
        <v>50.95</v>
      </c>
      <c r="E116" s="210">
        <v>1.47</v>
      </c>
      <c r="F116" s="209">
        <f t="shared" si="1"/>
        <v>74.896500000000003</v>
      </c>
      <c r="G116" s="211" t="s">
        <v>767</v>
      </c>
      <c r="H116" s="208"/>
    </row>
    <row r="117" spans="1:8" ht="15.75" customHeight="1" x14ac:dyDescent="0.25">
      <c r="A117" s="212" t="s">
        <v>908</v>
      </c>
      <c r="B117" s="211" t="s">
        <v>893</v>
      </c>
      <c r="C117" s="214"/>
      <c r="D117" s="213">
        <v>56.95</v>
      </c>
      <c r="E117" s="210">
        <v>1.27</v>
      </c>
      <c r="F117" s="209">
        <f t="shared" si="1"/>
        <v>72.32650000000001</v>
      </c>
      <c r="G117" s="208"/>
      <c r="H117" s="208"/>
    </row>
    <row r="118" spans="1:8" ht="15.75" customHeight="1" x14ac:dyDescent="0.25">
      <c r="A118" s="212" t="s">
        <v>909</v>
      </c>
      <c r="B118" s="211" t="s">
        <v>893</v>
      </c>
      <c r="C118" s="214"/>
      <c r="D118" s="213">
        <v>43.5</v>
      </c>
      <c r="E118" s="210"/>
      <c r="F118" s="209">
        <f t="shared" si="1"/>
        <v>0</v>
      </c>
      <c r="G118" s="208"/>
      <c r="H118" s="208"/>
    </row>
    <row r="119" spans="1:8" ht="15.75" customHeight="1" x14ac:dyDescent="0.25">
      <c r="A119" s="212" t="s">
        <v>910</v>
      </c>
      <c r="B119" s="214"/>
      <c r="C119" s="214">
        <v>2.5</v>
      </c>
      <c r="D119" s="213">
        <v>49.95</v>
      </c>
      <c r="E119" s="210"/>
      <c r="F119" s="209">
        <f t="shared" si="1"/>
        <v>0</v>
      </c>
      <c r="G119" s="209"/>
      <c r="H119" s="208"/>
    </row>
    <row r="120" spans="1:8" ht="17.25" customHeight="1" x14ac:dyDescent="0.25">
      <c r="A120" s="212" t="s">
        <v>911</v>
      </c>
      <c r="B120" s="211" t="s">
        <v>893</v>
      </c>
      <c r="C120" s="214"/>
      <c r="D120" s="213">
        <v>25.95</v>
      </c>
      <c r="E120" s="210">
        <v>0.47</v>
      </c>
      <c r="F120" s="209">
        <f t="shared" si="1"/>
        <v>12.196499999999999</v>
      </c>
      <c r="G120" s="208" t="s">
        <v>785</v>
      </c>
      <c r="H120" s="208"/>
    </row>
    <row r="121" spans="1:8" ht="17.25" customHeight="1" x14ac:dyDescent="0.25">
      <c r="A121" s="212" t="s">
        <v>912</v>
      </c>
      <c r="B121" s="214"/>
      <c r="C121" s="214"/>
      <c r="D121" s="213">
        <v>47.95</v>
      </c>
      <c r="E121" s="210">
        <v>0</v>
      </c>
      <c r="F121" s="209">
        <f t="shared" si="1"/>
        <v>0</v>
      </c>
      <c r="G121" s="207" t="s">
        <v>913</v>
      </c>
      <c r="H121" s="208"/>
    </row>
    <row r="122" spans="1:8" ht="15.75" customHeight="1" x14ac:dyDescent="0.25">
      <c r="A122" s="212" t="s">
        <v>914</v>
      </c>
      <c r="B122" s="214"/>
      <c r="C122" s="214"/>
      <c r="D122" s="213">
        <v>30.95</v>
      </c>
      <c r="E122" s="210"/>
      <c r="F122" s="209">
        <f t="shared" si="1"/>
        <v>0</v>
      </c>
      <c r="G122" s="208"/>
      <c r="H122" s="208"/>
    </row>
    <row r="123" spans="1:8" ht="20.25" customHeight="1" x14ac:dyDescent="0.25">
      <c r="A123" s="216" t="s">
        <v>915</v>
      </c>
      <c r="B123" s="214"/>
      <c r="C123" s="214"/>
      <c r="D123" s="213">
        <v>48.5</v>
      </c>
      <c r="E123" s="217">
        <v>0</v>
      </c>
      <c r="F123" s="209">
        <f t="shared" si="1"/>
        <v>0</v>
      </c>
      <c r="G123" s="211" t="s">
        <v>778</v>
      </c>
      <c r="H123" s="208"/>
    </row>
    <row r="124" spans="1:8" ht="15.75" customHeight="1" x14ac:dyDescent="0.25">
      <c r="A124" s="212" t="s">
        <v>916</v>
      </c>
      <c r="B124" s="214"/>
      <c r="C124" s="214"/>
      <c r="D124" s="213">
        <v>31.5</v>
      </c>
      <c r="E124" s="210"/>
      <c r="F124" s="209">
        <f t="shared" si="1"/>
        <v>0</v>
      </c>
      <c r="G124" s="207" t="s">
        <v>917</v>
      </c>
      <c r="H124" s="208"/>
    </row>
    <row r="125" spans="1:8" ht="17.25" customHeight="1" x14ac:dyDescent="0.25">
      <c r="A125" s="212" t="s">
        <v>918</v>
      </c>
      <c r="B125" s="211" t="s">
        <v>893</v>
      </c>
      <c r="C125" s="214"/>
      <c r="D125" s="213">
        <v>68.5</v>
      </c>
      <c r="E125" s="210"/>
      <c r="F125" s="209">
        <f t="shared" si="1"/>
        <v>0</v>
      </c>
      <c r="G125" s="208"/>
      <c r="H125" s="208"/>
    </row>
    <row r="126" spans="1:8" ht="15.75" customHeight="1" x14ac:dyDescent="0.25">
      <c r="A126" s="212" t="s">
        <v>919</v>
      </c>
      <c r="B126" s="211" t="s">
        <v>893</v>
      </c>
      <c r="C126" s="214"/>
      <c r="D126" s="213">
        <v>59.95</v>
      </c>
      <c r="E126" s="210"/>
      <c r="F126" s="209">
        <f t="shared" si="1"/>
        <v>0</v>
      </c>
      <c r="G126" s="208"/>
      <c r="H126" s="208"/>
    </row>
    <row r="127" spans="1:8" ht="15.75" customHeight="1" x14ac:dyDescent="0.25">
      <c r="A127" s="212" t="s">
        <v>920</v>
      </c>
      <c r="B127" s="211" t="s">
        <v>893</v>
      </c>
      <c r="C127" s="214"/>
      <c r="D127" s="213">
        <v>56.95</v>
      </c>
      <c r="E127" s="210"/>
      <c r="F127" s="209">
        <f t="shared" si="1"/>
        <v>0</v>
      </c>
      <c r="G127" s="208"/>
      <c r="H127" s="208"/>
    </row>
    <row r="128" spans="1:8" ht="15.75" customHeight="1" x14ac:dyDescent="0.25">
      <c r="A128" s="212" t="s">
        <v>921</v>
      </c>
      <c r="B128" s="214"/>
      <c r="C128" s="214"/>
      <c r="D128" s="213">
        <v>57.95</v>
      </c>
      <c r="E128" s="210"/>
      <c r="F128" s="209">
        <f t="shared" si="1"/>
        <v>0</v>
      </c>
      <c r="G128" s="211" t="s">
        <v>785</v>
      </c>
      <c r="H128" s="208"/>
    </row>
    <row r="129" spans="1:8" ht="15.75" customHeight="1" x14ac:dyDescent="0.25">
      <c r="A129" s="212" t="s">
        <v>922</v>
      </c>
      <c r="B129" s="211" t="s">
        <v>893</v>
      </c>
      <c r="C129" s="211" t="s">
        <v>923</v>
      </c>
      <c r="D129" s="213">
        <v>104.95</v>
      </c>
      <c r="E129" s="210"/>
      <c r="F129" s="209">
        <f t="shared" si="1"/>
        <v>0</v>
      </c>
      <c r="G129" s="208"/>
      <c r="H129" s="208"/>
    </row>
    <row r="130" spans="1:8" ht="15.75" customHeight="1" x14ac:dyDescent="0.25">
      <c r="A130" s="212" t="s">
        <v>924</v>
      </c>
      <c r="B130" s="211" t="s">
        <v>893</v>
      </c>
      <c r="C130" s="214"/>
      <c r="D130" s="213">
        <v>51.95</v>
      </c>
      <c r="E130" s="210">
        <v>1.36</v>
      </c>
      <c r="F130" s="209">
        <f t="shared" si="1"/>
        <v>70.652000000000015</v>
      </c>
      <c r="G130" s="207" t="s">
        <v>767</v>
      </c>
      <c r="H130" s="208"/>
    </row>
    <row r="131" spans="1:8" ht="15.75" customHeight="1" x14ac:dyDescent="0.25">
      <c r="A131" s="212" t="s">
        <v>925</v>
      </c>
      <c r="B131" s="211"/>
      <c r="C131" s="214"/>
      <c r="D131" s="213">
        <v>42.95</v>
      </c>
      <c r="E131" s="210">
        <v>1.587</v>
      </c>
      <c r="F131" s="209">
        <f t="shared" si="1"/>
        <v>68.161650000000009</v>
      </c>
      <c r="G131" s="211" t="s">
        <v>778</v>
      </c>
      <c r="H131" s="208"/>
    </row>
    <row r="132" spans="1:8" ht="18.75" customHeight="1" x14ac:dyDescent="0.25">
      <c r="A132" s="212" t="s">
        <v>926</v>
      </c>
      <c r="B132" s="214"/>
      <c r="C132" s="214"/>
      <c r="D132" s="213">
        <v>46.95</v>
      </c>
      <c r="E132" s="210">
        <v>1.24</v>
      </c>
      <c r="F132" s="209">
        <f t="shared" ref="F132:F200" si="2">D132:D132*E132:E132</f>
        <v>58.218000000000004</v>
      </c>
      <c r="G132" s="211" t="s">
        <v>767</v>
      </c>
      <c r="H132" s="208"/>
    </row>
    <row r="133" spans="1:8" ht="13.5" customHeight="1" x14ac:dyDescent="0.25">
      <c r="A133" s="212" t="s">
        <v>927</v>
      </c>
      <c r="B133" s="211" t="s">
        <v>893</v>
      </c>
      <c r="C133" s="214"/>
      <c r="D133" s="213">
        <v>29.95</v>
      </c>
      <c r="E133" s="210"/>
      <c r="F133" s="209">
        <f t="shared" si="2"/>
        <v>0</v>
      </c>
      <c r="G133" s="208" t="s">
        <v>778</v>
      </c>
      <c r="H133" s="208"/>
    </row>
    <row r="134" spans="1:8" ht="18" customHeight="1" x14ac:dyDescent="0.25">
      <c r="A134" s="212" t="s">
        <v>928</v>
      </c>
      <c r="B134" s="214"/>
      <c r="C134" s="214"/>
      <c r="D134" s="213">
        <v>37.700000000000003</v>
      </c>
      <c r="E134" s="210"/>
      <c r="F134" s="209">
        <f t="shared" si="2"/>
        <v>0</v>
      </c>
      <c r="G134" s="208"/>
      <c r="H134" s="208"/>
    </row>
    <row r="135" spans="1:8" ht="15.75" customHeight="1" x14ac:dyDescent="0.25">
      <c r="A135" s="212" t="s">
        <v>929</v>
      </c>
      <c r="B135" s="211" t="s">
        <v>893</v>
      </c>
      <c r="C135" s="214"/>
      <c r="D135" s="213">
        <v>24.5</v>
      </c>
      <c r="E135" s="210"/>
      <c r="F135" s="209">
        <f t="shared" si="2"/>
        <v>0</v>
      </c>
      <c r="G135" s="208"/>
      <c r="H135" s="208"/>
    </row>
    <row r="136" spans="1:8" ht="13.5" customHeight="1" x14ac:dyDescent="0.25">
      <c r="A136" s="212" t="s">
        <v>930</v>
      </c>
      <c r="B136" s="214"/>
      <c r="C136" s="214"/>
      <c r="D136" s="213">
        <v>46.95</v>
      </c>
      <c r="E136" s="210">
        <v>0.86</v>
      </c>
      <c r="F136" s="209">
        <f t="shared" si="2"/>
        <v>40.377000000000002</v>
      </c>
      <c r="G136" s="207" t="s">
        <v>882</v>
      </c>
      <c r="H136" s="208"/>
    </row>
    <row r="137" spans="1:8" ht="15.75" customHeight="1" x14ac:dyDescent="0.25">
      <c r="A137" s="212" t="s">
        <v>931</v>
      </c>
      <c r="B137" s="214"/>
      <c r="C137" s="214"/>
      <c r="D137" s="213">
        <v>20.95</v>
      </c>
      <c r="E137" s="210">
        <v>0</v>
      </c>
      <c r="F137" s="209">
        <f t="shared" si="2"/>
        <v>0</v>
      </c>
      <c r="G137" s="209"/>
      <c r="H137" s="208"/>
    </row>
    <row r="138" spans="1:8" ht="19.5" customHeight="1" x14ac:dyDescent="0.25">
      <c r="A138" s="212" t="s">
        <v>932</v>
      </c>
      <c r="B138" s="211" t="s">
        <v>893</v>
      </c>
      <c r="C138" s="214"/>
      <c r="D138" s="213">
        <v>24.5</v>
      </c>
      <c r="E138" s="210"/>
      <c r="F138" s="209">
        <f t="shared" si="2"/>
        <v>0</v>
      </c>
      <c r="G138" s="208" t="s">
        <v>933</v>
      </c>
      <c r="H138" s="208"/>
    </row>
    <row r="139" spans="1:8" ht="19.5" customHeight="1" x14ac:dyDescent="0.25">
      <c r="A139" s="212" t="s">
        <v>934</v>
      </c>
      <c r="B139" s="211"/>
      <c r="C139" s="214"/>
      <c r="D139" s="213"/>
      <c r="E139" s="210">
        <v>1.19</v>
      </c>
      <c r="F139" s="209">
        <f t="shared" si="2"/>
        <v>0</v>
      </c>
      <c r="G139" s="208" t="s">
        <v>767</v>
      </c>
      <c r="H139" s="208" t="s">
        <v>769</v>
      </c>
    </row>
    <row r="140" spans="1:8" ht="19.5" customHeight="1" x14ac:dyDescent="0.25">
      <c r="A140" s="212" t="s">
        <v>935</v>
      </c>
      <c r="B140" s="211"/>
      <c r="C140" s="214"/>
      <c r="D140" s="213"/>
      <c r="E140" s="210">
        <v>2.42</v>
      </c>
      <c r="F140" s="209">
        <f t="shared" si="2"/>
        <v>0</v>
      </c>
      <c r="G140" s="208" t="s">
        <v>767</v>
      </c>
      <c r="H140" s="208" t="s">
        <v>769</v>
      </c>
    </row>
    <row r="141" spans="1:8" ht="19.5" customHeight="1" x14ac:dyDescent="0.25">
      <c r="A141" s="212" t="s">
        <v>936</v>
      </c>
      <c r="B141" s="211"/>
      <c r="C141" s="214"/>
      <c r="D141" s="213"/>
      <c r="E141" s="210">
        <v>4.4000000000000004</v>
      </c>
      <c r="F141" s="209"/>
      <c r="G141" s="208" t="s">
        <v>767</v>
      </c>
      <c r="H141" s="208" t="s">
        <v>769</v>
      </c>
    </row>
    <row r="142" spans="1:8" ht="19.5" customHeight="1" x14ac:dyDescent="0.25">
      <c r="A142" s="212" t="s">
        <v>937</v>
      </c>
      <c r="B142" s="214"/>
      <c r="C142" s="214"/>
      <c r="D142" s="213">
        <v>29.95</v>
      </c>
      <c r="E142" s="210"/>
      <c r="F142" s="209">
        <f t="shared" si="2"/>
        <v>0</v>
      </c>
      <c r="G142" s="209"/>
      <c r="H142" s="208"/>
    </row>
    <row r="143" spans="1:8" ht="18.75" customHeight="1" x14ac:dyDescent="0.25">
      <c r="A143" s="212" t="s">
        <v>938</v>
      </c>
      <c r="B143" s="214"/>
      <c r="C143" s="211" t="s">
        <v>939</v>
      </c>
      <c r="D143" s="213">
        <v>4.6500000000000004</v>
      </c>
      <c r="E143" s="210">
        <v>5</v>
      </c>
      <c r="F143" s="209">
        <f t="shared" si="2"/>
        <v>23.25</v>
      </c>
      <c r="G143" s="209" t="s">
        <v>767</v>
      </c>
      <c r="H143" s="208"/>
    </row>
    <row r="144" spans="1:8" ht="18.75" customHeight="1" x14ac:dyDescent="0.25">
      <c r="A144" s="212" t="s">
        <v>940</v>
      </c>
      <c r="B144" s="211" t="s">
        <v>941</v>
      </c>
      <c r="C144" s="211"/>
      <c r="D144" s="213">
        <v>22.7</v>
      </c>
      <c r="E144" s="210">
        <v>2.65</v>
      </c>
      <c r="F144" s="209">
        <f t="shared" si="2"/>
        <v>60.154999999999994</v>
      </c>
      <c r="G144" s="211" t="s">
        <v>767</v>
      </c>
      <c r="H144" s="208" t="s">
        <v>942</v>
      </c>
    </row>
    <row r="145" spans="1:16" ht="18.75" customHeight="1" x14ac:dyDescent="0.25">
      <c r="A145" s="212" t="s">
        <v>943</v>
      </c>
      <c r="B145" s="211" t="s">
        <v>941</v>
      </c>
      <c r="C145" s="211"/>
      <c r="D145" s="213">
        <v>36.950000000000003</v>
      </c>
      <c r="E145" s="210">
        <v>0</v>
      </c>
      <c r="F145" s="209">
        <f t="shared" si="2"/>
        <v>0</v>
      </c>
      <c r="G145" s="207" t="s">
        <v>809</v>
      </c>
      <c r="H145" s="208"/>
    </row>
    <row r="146" spans="1:16" ht="18.75" customHeight="1" x14ac:dyDescent="0.25">
      <c r="A146" s="212" t="s">
        <v>944</v>
      </c>
      <c r="B146" s="211" t="s">
        <v>893</v>
      </c>
      <c r="C146" s="214">
        <v>1.2</v>
      </c>
      <c r="D146" s="213">
        <v>47.95</v>
      </c>
      <c r="E146" s="210">
        <v>0.8</v>
      </c>
      <c r="F146" s="209">
        <f t="shared" si="2"/>
        <v>38.360000000000007</v>
      </c>
      <c r="G146" s="211" t="s">
        <v>778</v>
      </c>
      <c r="H146" s="208" t="s">
        <v>785</v>
      </c>
    </row>
    <row r="147" spans="1:16" ht="18.75" customHeight="1" x14ac:dyDescent="0.25">
      <c r="A147" s="212" t="s">
        <v>945</v>
      </c>
      <c r="B147" s="211" t="s">
        <v>893</v>
      </c>
      <c r="C147" s="214"/>
      <c r="D147" s="213">
        <v>41</v>
      </c>
      <c r="E147" s="210">
        <v>1</v>
      </c>
      <c r="F147" s="209">
        <f t="shared" si="2"/>
        <v>41</v>
      </c>
      <c r="G147" s="211" t="s">
        <v>778</v>
      </c>
      <c r="H147" s="208" t="s">
        <v>785</v>
      </c>
    </row>
    <row r="148" spans="1:16" ht="18.75" customHeight="1" x14ac:dyDescent="0.25">
      <c r="A148" s="212" t="s">
        <v>946</v>
      </c>
      <c r="B148" s="211"/>
      <c r="C148" s="214"/>
      <c r="D148" s="213">
        <v>40</v>
      </c>
      <c r="E148" s="210">
        <v>1.8</v>
      </c>
      <c r="F148" s="209">
        <f t="shared" si="2"/>
        <v>72</v>
      </c>
      <c r="G148" s="207" t="s">
        <v>767</v>
      </c>
      <c r="H148" s="208" t="s">
        <v>785</v>
      </c>
    </row>
    <row r="149" spans="1:16" ht="23.25" customHeight="1" x14ac:dyDescent="0.25">
      <c r="A149" s="212" t="s">
        <v>947</v>
      </c>
      <c r="B149" s="211" t="s">
        <v>948</v>
      </c>
      <c r="C149" s="211" t="s">
        <v>949</v>
      </c>
      <c r="D149" s="213">
        <v>81</v>
      </c>
      <c r="E149" s="210"/>
      <c r="F149" s="209">
        <f t="shared" si="2"/>
        <v>0</v>
      </c>
      <c r="G149" s="208"/>
      <c r="H149" s="208"/>
    </row>
    <row r="150" spans="1:16" ht="24" customHeight="1" x14ac:dyDescent="0.25">
      <c r="A150" s="212" t="s">
        <v>947</v>
      </c>
      <c r="B150" s="211" t="s">
        <v>948</v>
      </c>
      <c r="C150" s="211" t="s">
        <v>950</v>
      </c>
      <c r="D150" s="213">
        <v>78</v>
      </c>
      <c r="E150" s="218">
        <v>7</v>
      </c>
      <c r="F150" s="213">
        <f t="shared" si="2"/>
        <v>546</v>
      </c>
      <c r="G150" s="211" t="s">
        <v>767</v>
      </c>
      <c r="H150" s="208"/>
    </row>
    <row r="151" spans="1:16" ht="21" customHeight="1" x14ac:dyDescent="0.25">
      <c r="A151" s="207" t="s">
        <v>951</v>
      </c>
      <c r="B151" s="207" t="s">
        <v>952</v>
      </c>
      <c r="C151" s="208">
        <v>4</v>
      </c>
      <c r="D151" s="209">
        <v>32.450000000000003</v>
      </c>
      <c r="E151" s="210"/>
      <c r="F151" s="209">
        <f t="shared" si="2"/>
        <v>0</v>
      </c>
      <c r="G151" s="208"/>
      <c r="H151" s="208"/>
    </row>
    <row r="152" spans="1:16" ht="15" customHeight="1" x14ac:dyDescent="0.25">
      <c r="A152" s="207" t="s">
        <v>953</v>
      </c>
      <c r="B152" s="207" t="s">
        <v>952</v>
      </c>
      <c r="C152" s="208"/>
      <c r="D152" s="209">
        <v>57.5</v>
      </c>
      <c r="E152" s="210"/>
      <c r="F152" s="209">
        <f t="shared" si="2"/>
        <v>0</v>
      </c>
      <c r="G152" s="208"/>
      <c r="H152" s="208"/>
    </row>
    <row r="153" spans="1:16" ht="12.95" customHeight="1" x14ac:dyDescent="0.25">
      <c r="A153" s="207" t="s">
        <v>954</v>
      </c>
      <c r="B153" s="207" t="s">
        <v>952</v>
      </c>
      <c r="C153" s="208"/>
      <c r="D153" s="209">
        <v>3</v>
      </c>
      <c r="E153" s="210"/>
      <c r="F153" s="209">
        <f t="shared" si="2"/>
        <v>0</v>
      </c>
      <c r="G153" s="209"/>
      <c r="H153" s="208"/>
    </row>
    <row r="154" spans="1:16" ht="14.1" customHeight="1" x14ac:dyDescent="0.25">
      <c r="A154" s="207" t="s">
        <v>955</v>
      </c>
      <c r="B154" s="207" t="s">
        <v>952</v>
      </c>
      <c r="C154" s="208"/>
      <c r="D154" s="209">
        <v>29.95</v>
      </c>
      <c r="E154" s="210"/>
      <c r="F154" s="209">
        <f t="shared" si="2"/>
        <v>0</v>
      </c>
      <c r="G154" s="209"/>
      <c r="H154" s="208"/>
    </row>
    <row r="155" spans="1:16" ht="21" customHeight="1" x14ac:dyDescent="0.25">
      <c r="A155" s="212" t="s">
        <v>947</v>
      </c>
      <c r="B155" s="207" t="s">
        <v>956</v>
      </c>
      <c r="C155" s="208">
        <v>15</v>
      </c>
      <c r="D155" s="209">
        <v>120</v>
      </c>
      <c r="E155" s="210"/>
      <c r="F155" s="209">
        <f t="shared" si="2"/>
        <v>0</v>
      </c>
      <c r="G155" s="207" t="s">
        <v>778</v>
      </c>
      <c r="H155" s="208"/>
    </row>
    <row r="156" spans="1:16" ht="16.5" customHeight="1" x14ac:dyDescent="0.25">
      <c r="A156" s="212" t="s">
        <v>957</v>
      </c>
      <c r="B156" s="208"/>
      <c r="C156" s="207" t="s">
        <v>958</v>
      </c>
      <c r="D156" s="209">
        <v>1.5</v>
      </c>
      <c r="E156" s="210"/>
      <c r="F156" s="209">
        <f t="shared" si="2"/>
        <v>0</v>
      </c>
      <c r="G156" s="207"/>
      <c r="H156" s="208"/>
      <c r="P156" s="204" t="s">
        <v>959</v>
      </c>
    </row>
    <row r="157" spans="1:16" ht="12.75" customHeight="1" x14ac:dyDescent="0.25">
      <c r="A157" s="207" t="s">
        <v>960</v>
      </c>
      <c r="B157" s="207" t="s">
        <v>952</v>
      </c>
      <c r="C157" s="208"/>
      <c r="D157" s="209">
        <v>21.7</v>
      </c>
      <c r="E157" s="210">
        <v>0</v>
      </c>
      <c r="F157" s="209">
        <f t="shared" si="2"/>
        <v>0</v>
      </c>
      <c r="G157" s="211" t="s">
        <v>778</v>
      </c>
      <c r="H157" s="208"/>
      <c r="P157" s="204" t="s">
        <v>961</v>
      </c>
    </row>
    <row r="158" spans="1:16" ht="15.75" customHeight="1" x14ac:dyDescent="0.25">
      <c r="A158" s="207" t="s">
        <v>962</v>
      </c>
      <c r="B158" s="207" t="s">
        <v>952</v>
      </c>
      <c r="C158" s="208"/>
      <c r="D158" s="209">
        <v>40.700000000000003</v>
      </c>
      <c r="E158" s="210">
        <v>0</v>
      </c>
      <c r="F158" s="209">
        <f t="shared" si="2"/>
        <v>0</v>
      </c>
      <c r="G158" s="208" t="s">
        <v>778</v>
      </c>
      <c r="H158" s="208"/>
      <c r="P158" s="204" t="s">
        <v>963</v>
      </c>
    </row>
    <row r="159" spans="1:16" ht="15.75" customHeight="1" x14ac:dyDescent="0.25">
      <c r="A159" s="207" t="s">
        <v>964</v>
      </c>
      <c r="B159" s="207" t="s">
        <v>952</v>
      </c>
      <c r="C159" s="208"/>
      <c r="D159" s="209">
        <v>19.25</v>
      </c>
      <c r="E159" s="210"/>
      <c r="F159" s="209">
        <f t="shared" si="2"/>
        <v>0</v>
      </c>
      <c r="G159" s="208"/>
      <c r="H159" s="208"/>
      <c r="P159" s="204" t="s">
        <v>965</v>
      </c>
    </row>
    <row r="160" spans="1:16" ht="15.75" customHeight="1" x14ac:dyDescent="0.25">
      <c r="A160" s="212" t="s">
        <v>966</v>
      </c>
      <c r="B160" s="208"/>
      <c r="C160" s="208">
        <v>1.5</v>
      </c>
      <c r="D160" s="209">
        <v>37.1</v>
      </c>
      <c r="E160" s="210"/>
      <c r="F160" s="209">
        <f t="shared" si="2"/>
        <v>0</v>
      </c>
      <c r="G160" s="208"/>
      <c r="H160" s="208"/>
      <c r="P160" s="204" t="s">
        <v>967</v>
      </c>
    </row>
    <row r="161" spans="1:16" ht="15.75" customHeight="1" x14ac:dyDescent="0.25">
      <c r="A161" s="212" t="s">
        <v>968</v>
      </c>
      <c r="B161" s="208"/>
      <c r="C161" s="208">
        <v>1</v>
      </c>
      <c r="D161" s="209">
        <v>23.85</v>
      </c>
      <c r="E161" s="210"/>
      <c r="F161" s="209">
        <f t="shared" si="2"/>
        <v>0</v>
      </c>
      <c r="G161" s="208"/>
      <c r="H161" s="208"/>
      <c r="P161" s="204" t="s">
        <v>969</v>
      </c>
    </row>
    <row r="162" spans="1:16" ht="15.75" customHeight="1" x14ac:dyDescent="0.25">
      <c r="A162" s="219"/>
      <c r="B162" s="208"/>
      <c r="C162" s="208"/>
      <c r="D162" s="209"/>
      <c r="E162" s="210"/>
      <c r="F162" s="209">
        <f t="shared" si="2"/>
        <v>0</v>
      </c>
      <c r="G162" s="209"/>
      <c r="H162" s="208"/>
      <c r="P162" s="204" t="s">
        <v>970</v>
      </c>
    </row>
    <row r="163" spans="1:16" ht="12" customHeight="1" x14ac:dyDescent="0.25">
      <c r="A163" s="212" t="s">
        <v>971</v>
      </c>
      <c r="B163" s="207" t="s">
        <v>952</v>
      </c>
      <c r="C163" s="208">
        <v>2</v>
      </c>
      <c r="D163" s="209">
        <v>22.5</v>
      </c>
      <c r="E163" s="210"/>
      <c r="F163" s="209">
        <f t="shared" si="2"/>
        <v>0</v>
      </c>
      <c r="G163" s="209"/>
      <c r="H163" s="208"/>
      <c r="P163" s="204" t="s">
        <v>972</v>
      </c>
    </row>
    <row r="164" spans="1:16" ht="13.5" customHeight="1" x14ac:dyDescent="0.25">
      <c r="A164" s="212" t="s">
        <v>973</v>
      </c>
      <c r="B164" s="207" t="s">
        <v>952</v>
      </c>
      <c r="C164" s="208"/>
      <c r="D164" s="213">
        <v>8.6999999999999993</v>
      </c>
      <c r="E164" s="210"/>
      <c r="F164" s="209">
        <f t="shared" si="2"/>
        <v>0</v>
      </c>
      <c r="G164" s="211" t="s">
        <v>974</v>
      </c>
      <c r="H164" s="208"/>
      <c r="P164" s="204" t="s">
        <v>975</v>
      </c>
    </row>
    <row r="165" spans="1:16" ht="15.75" customHeight="1" x14ac:dyDescent="0.25">
      <c r="A165" s="212" t="s">
        <v>976</v>
      </c>
      <c r="B165" s="208"/>
      <c r="C165" s="208"/>
      <c r="D165" s="213">
        <v>6.25</v>
      </c>
      <c r="E165" s="210"/>
      <c r="F165" s="209">
        <f t="shared" si="2"/>
        <v>0</v>
      </c>
      <c r="G165" s="208"/>
      <c r="H165" s="208"/>
      <c r="P165" s="204" t="s">
        <v>977</v>
      </c>
    </row>
    <row r="166" spans="1:16" ht="15.75" customHeight="1" x14ac:dyDescent="0.25">
      <c r="A166" s="212" t="s">
        <v>978</v>
      </c>
      <c r="B166" s="207" t="s">
        <v>952</v>
      </c>
      <c r="C166" s="208"/>
      <c r="D166" s="213">
        <v>50</v>
      </c>
      <c r="E166" s="210"/>
      <c r="F166" s="209">
        <f t="shared" si="2"/>
        <v>0</v>
      </c>
      <c r="G166" s="207" t="s">
        <v>882</v>
      </c>
      <c r="H166" s="208"/>
      <c r="P166" s="204" t="s">
        <v>979</v>
      </c>
    </row>
    <row r="167" spans="1:16" ht="15.75" customHeight="1" x14ac:dyDescent="0.25">
      <c r="A167" s="207" t="s">
        <v>980</v>
      </c>
      <c r="B167" s="207" t="s">
        <v>952</v>
      </c>
      <c r="C167" s="208">
        <v>2</v>
      </c>
      <c r="D167" s="209">
        <v>47.7</v>
      </c>
      <c r="E167" s="210"/>
      <c r="F167" s="209">
        <f t="shared" si="2"/>
        <v>0</v>
      </c>
      <c r="G167" s="209"/>
      <c r="H167" s="208"/>
      <c r="P167" s="204" t="s">
        <v>981</v>
      </c>
    </row>
    <row r="168" spans="1:16" ht="15.75" customHeight="1" x14ac:dyDescent="0.25">
      <c r="A168" s="207" t="s">
        <v>982</v>
      </c>
      <c r="B168" s="207" t="s">
        <v>952</v>
      </c>
      <c r="C168" s="208" t="s">
        <v>896</v>
      </c>
      <c r="D168" s="209"/>
      <c r="E168" s="210">
        <v>0</v>
      </c>
      <c r="F168" s="209">
        <f>D168:D168*E168:E168</f>
        <v>0</v>
      </c>
      <c r="G168" s="209"/>
      <c r="H168" s="208"/>
      <c r="P168" s="204"/>
    </row>
    <row r="169" spans="1:16" ht="15.75" customHeight="1" x14ac:dyDescent="0.25">
      <c r="A169" s="212" t="s">
        <v>983</v>
      </c>
      <c r="B169" s="207" t="s">
        <v>952</v>
      </c>
      <c r="C169" s="208"/>
      <c r="D169" s="209">
        <v>56.1</v>
      </c>
      <c r="E169" s="210"/>
      <c r="F169" s="209">
        <f t="shared" si="2"/>
        <v>0</v>
      </c>
      <c r="G169" s="207"/>
      <c r="H169" s="208"/>
      <c r="P169" s="204" t="s">
        <v>984</v>
      </c>
    </row>
    <row r="170" spans="1:16" ht="15.75" customHeight="1" x14ac:dyDescent="0.25">
      <c r="A170" s="212" t="s">
        <v>985</v>
      </c>
      <c r="B170" s="207" t="s">
        <v>952</v>
      </c>
      <c r="C170" s="208"/>
      <c r="D170" s="209">
        <v>47.8</v>
      </c>
      <c r="E170" s="210"/>
      <c r="F170" s="209">
        <f t="shared" si="2"/>
        <v>0</v>
      </c>
      <c r="G170" s="208"/>
      <c r="H170" s="208"/>
    </row>
    <row r="171" spans="1:16" ht="15.75" customHeight="1" x14ac:dyDescent="0.25">
      <c r="A171" s="212" t="s">
        <v>986</v>
      </c>
      <c r="B171" s="207" t="s">
        <v>952</v>
      </c>
      <c r="C171" s="208"/>
      <c r="D171" s="213">
        <v>49.9</v>
      </c>
      <c r="E171" s="210"/>
      <c r="F171" s="209">
        <f t="shared" si="2"/>
        <v>0</v>
      </c>
      <c r="G171" s="211" t="s">
        <v>767</v>
      </c>
      <c r="H171" s="208"/>
    </row>
    <row r="172" spans="1:16" ht="15.75" customHeight="1" x14ac:dyDescent="0.25">
      <c r="A172" s="212" t="s">
        <v>987</v>
      </c>
      <c r="B172" s="207" t="s">
        <v>952</v>
      </c>
      <c r="C172" s="208"/>
      <c r="D172" s="213">
        <v>45.1</v>
      </c>
      <c r="E172" s="210">
        <v>1</v>
      </c>
      <c r="F172" s="209">
        <f t="shared" si="2"/>
        <v>45.1</v>
      </c>
      <c r="G172" s="209"/>
      <c r="H172" s="208"/>
    </row>
    <row r="173" spans="1:16" ht="15.75" customHeight="1" x14ac:dyDescent="0.25">
      <c r="A173" s="212" t="s">
        <v>988</v>
      </c>
      <c r="B173" s="207" t="s">
        <v>952</v>
      </c>
      <c r="C173" s="208"/>
      <c r="D173" s="209">
        <v>5.3</v>
      </c>
      <c r="E173" s="210">
        <v>18</v>
      </c>
      <c r="F173" s="209">
        <f t="shared" si="2"/>
        <v>95.399999999999991</v>
      </c>
      <c r="G173" s="209"/>
      <c r="H173" s="208"/>
    </row>
    <row r="174" spans="1:16" ht="15.75" customHeight="1" x14ac:dyDescent="0.25">
      <c r="A174" s="212" t="s">
        <v>989</v>
      </c>
      <c r="B174" s="208"/>
      <c r="C174" s="208"/>
      <c r="D174" s="209">
        <v>6.1</v>
      </c>
      <c r="E174" s="210">
        <v>9</v>
      </c>
      <c r="F174" s="209">
        <f t="shared" si="2"/>
        <v>54.9</v>
      </c>
      <c r="G174" s="209"/>
      <c r="H174" s="208"/>
    </row>
    <row r="175" spans="1:16" ht="15.75" customHeight="1" x14ac:dyDescent="0.25">
      <c r="A175" s="212" t="s">
        <v>990</v>
      </c>
      <c r="B175" s="208"/>
      <c r="C175" s="208"/>
      <c r="D175" s="209">
        <v>6.1</v>
      </c>
      <c r="E175" s="210">
        <v>6</v>
      </c>
      <c r="F175" s="209">
        <f t="shared" si="2"/>
        <v>36.599999999999994</v>
      </c>
      <c r="G175" s="209"/>
      <c r="H175" s="208"/>
    </row>
    <row r="176" spans="1:16" ht="15.75" customHeight="1" x14ac:dyDescent="0.25">
      <c r="A176" s="212" t="s">
        <v>991</v>
      </c>
      <c r="B176" s="207" t="s">
        <v>952</v>
      </c>
      <c r="C176" s="208">
        <v>0.9</v>
      </c>
      <c r="D176" s="209">
        <v>25.85</v>
      </c>
      <c r="E176" s="210"/>
      <c r="F176" s="209">
        <f t="shared" si="2"/>
        <v>0</v>
      </c>
      <c r="G176" s="209"/>
      <c r="H176" s="208"/>
    </row>
    <row r="177" spans="1:8" ht="15.75" customHeight="1" x14ac:dyDescent="0.25">
      <c r="A177" s="212" t="s">
        <v>992</v>
      </c>
      <c r="B177" s="207" t="s">
        <v>952</v>
      </c>
      <c r="C177" s="208">
        <v>24</v>
      </c>
      <c r="D177" s="209">
        <v>46.95</v>
      </c>
      <c r="E177" s="210"/>
      <c r="F177" s="209">
        <f t="shared" si="2"/>
        <v>0</v>
      </c>
      <c r="G177" s="209"/>
      <c r="H177" s="208"/>
    </row>
    <row r="178" spans="1:8" ht="15.75" customHeight="1" x14ac:dyDescent="0.25">
      <c r="A178" s="212" t="s">
        <v>993</v>
      </c>
      <c r="B178" s="208"/>
      <c r="C178" s="208"/>
      <c r="D178" s="209">
        <v>41.85</v>
      </c>
      <c r="E178" s="210"/>
      <c r="F178" s="209">
        <f t="shared" si="2"/>
        <v>0</v>
      </c>
      <c r="G178" s="209"/>
      <c r="H178" s="208"/>
    </row>
    <row r="179" spans="1:8" ht="15.75" customHeight="1" x14ac:dyDescent="0.25">
      <c r="A179" s="212" t="s">
        <v>994</v>
      </c>
      <c r="B179" s="208"/>
      <c r="C179" s="208">
        <v>0.18</v>
      </c>
      <c r="D179" s="209">
        <v>16.5</v>
      </c>
      <c r="E179" s="210"/>
      <c r="F179" s="209">
        <f t="shared" si="2"/>
        <v>0</v>
      </c>
      <c r="G179" s="207" t="s">
        <v>778</v>
      </c>
      <c r="H179" s="208"/>
    </row>
    <row r="180" spans="1:8" ht="15.75" customHeight="1" x14ac:dyDescent="0.25">
      <c r="A180" s="212" t="s">
        <v>995</v>
      </c>
      <c r="B180" s="208"/>
      <c r="C180" s="208"/>
      <c r="D180" s="209">
        <v>51.3</v>
      </c>
      <c r="E180" s="210"/>
      <c r="F180" s="209">
        <f t="shared" si="2"/>
        <v>0</v>
      </c>
      <c r="G180" s="209"/>
      <c r="H180" s="208"/>
    </row>
    <row r="181" spans="1:8" ht="15.75" customHeight="1" x14ac:dyDescent="0.25">
      <c r="A181" s="212" t="s">
        <v>996</v>
      </c>
      <c r="B181" s="208"/>
      <c r="C181" s="208"/>
      <c r="D181" s="209">
        <v>58.1</v>
      </c>
      <c r="E181" s="210">
        <v>0.4</v>
      </c>
      <c r="F181" s="209">
        <f t="shared" si="2"/>
        <v>23.240000000000002</v>
      </c>
      <c r="G181" s="211" t="s">
        <v>767</v>
      </c>
      <c r="H181" s="208"/>
    </row>
    <row r="182" spans="1:8" ht="15.75" customHeight="1" x14ac:dyDescent="0.25">
      <c r="A182" s="212" t="s">
        <v>997</v>
      </c>
      <c r="B182" s="207" t="s">
        <v>952</v>
      </c>
      <c r="C182" s="208"/>
      <c r="D182" s="209">
        <v>17.75</v>
      </c>
      <c r="E182" s="210"/>
      <c r="F182" s="209">
        <f t="shared" si="2"/>
        <v>0</v>
      </c>
      <c r="G182" s="209"/>
      <c r="H182" s="208"/>
    </row>
    <row r="183" spans="1:8" ht="15.75" customHeight="1" x14ac:dyDescent="0.25">
      <c r="A183" s="212" t="s">
        <v>998</v>
      </c>
      <c r="B183" s="207" t="s">
        <v>999</v>
      </c>
      <c r="C183" s="207" t="s">
        <v>1000</v>
      </c>
      <c r="D183" s="209">
        <v>2.97</v>
      </c>
      <c r="E183" s="210">
        <v>20</v>
      </c>
      <c r="F183" s="209">
        <f t="shared" si="2"/>
        <v>59.400000000000006</v>
      </c>
      <c r="G183" s="209"/>
      <c r="H183" s="208"/>
    </row>
    <row r="184" spans="1:8" ht="13.5" customHeight="1" x14ac:dyDescent="0.25">
      <c r="A184" s="212" t="s">
        <v>1001</v>
      </c>
      <c r="B184" s="208"/>
      <c r="C184" s="207" t="s">
        <v>1002</v>
      </c>
      <c r="D184" s="209">
        <v>4.5</v>
      </c>
      <c r="E184" s="210">
        <v>12</v>
      </c>
      <c r="F184" s="209">
        <f t="shared" si="2"/>
        <v>54</v>
      </c>
      <c r="G184" s="208"/>
      <c r="H184" s="208"/>
    </row>
    <row r="185" spans="1:8" ht="15.75" customHeight="1" x14ac:dyDescent="0.25">
      <c r="A185" s="212" t="s">
        <v>1003</v>
      </c>
      <c r="B185" s="208"/>
      <c r="C185" s="208"/>
      <c r="D185" s="209">
        <v>43.47</v>
      </c>
      <c r="E185" s="210"/>
      <c r="F185" s="209">
        <f t="shared" si="2"/>
        <v>0</v>
      </c>
      <c r="G185" s="207" t="s">
        <v>778</v>
      </c>
      <c r="H185" s="208"/>
    </row>
    <row r="186" spans="1:8" ht="15.75" customHeight="1" x14ac:dyDescent="0.25">
      <c r="A186" s="212" t="s">
        <v>1004</v>
      </c>
      <c r="B186" s="208"/>
      <c r="C186" s="208"/>
      <c r="D186" s="209">
        <v>29</v>
      </c>
      <c r="E186" s="210">
        <v>0</v>
      </c>
      <c r="F186" s="209">
        <f t="shared" si="2"/>
        <v>0</v>
      </c>
      <c r="G186" s="207"/>
      <c r="H186" s="208"/>
    </row>
    <row r="187" spans="1:8" ht="15.75" customHeight="1" x14ac:dyDescent="0.25">
      <c r="A187" s="212" t="s">
        <v>1005</v>
      </c>
      <c r="B187" s="208"/>
      <c r="C187" s="214" t="s">
        <v>1006</v>
      </c>
      <c r="D187" s="209">
        <v>32</v>
      </c>
      <c r="E187" s="210">
        <v>0</v>
      </c>
      <c r="F187" s="209">
        <f t="shared" si="2"/>
        <v>0</v>
      </c>
      <c r="G187" s="211" t="s">
        <v>809</v>
      </c>
      <c r="H187" s="208"/>
    </row>
    <row r="188" spans="1:8" ht="15.75" customHeight="1" x14ac:dyDescent="0.25">
      <c r="A188" s="212" t="s">
        <v>1007</v>
      </c>
      <c r="B188" s="208"/>
      <c r="C188" s="214" t="s">
        <v>1008</v>
      </c>
      <c r="D188" s="209">
        <v>42</v>
      </c>
      <c r="E188" s="210">
        <v>0</v>
      </c>
      <c r="F188" s="209">
        <f t="shared" si="2"/>
        <v>0</v>
      </c>
      <c r="G188" s="211" t="s">
        <v>809</v>
      </c>
      <c r="H188" s="208"/>
    </row>
    <row r="189" spans="1:8" ht="15.75" customHeight="1" x14ac:dyDescent="0.25">
      <c r="A189" s="212" t="s">
        <v>1009</v>
      </c>
      <c r="B189" s="208"/>
      <c r="C189" s="208"/>
      <c r="D189" s="209">
        <v>48</v>
      </c>
      <c r="E189" s="210">
        <v>0.6</v>
      </c>
      <c r="F189" s="209">
        <f t="shared" si="2"/>
        <v>28.799999999999997</v>
      </c>
      <c r="G189" s="207"/>
      <c r="H189" s="208"/>
    </row>
    <row r="190" spans="1:8" ht="15.75" customHeight="1" x14ac:dyDescent="0.25">
      <c r="A190" s="212"/>
      <c r="B190" s="208"/>
      <c r="C190" s="208"/>
      <c r="D190" s="209"/>
      <c r="E190" s="210"/>
      <c r="F190" s="209">
        <f t="shared" si="2"/>
        <v>0</v>
      </c>
      <c r="G190" s="207"/>
      <c r="H190" s="208"/>
    </row>
    <row r="191" spans="1:8" ht="15.75" customHeight="1" x14ac:dyDescent="0.25">
      <c r="A191" s="207" t="s">
        <v>1010</v>
      </c>
      <c r="B191" s="207" t="s">
        <v>1011</v>
      </c>
      <c r="C191" s="208">
        <v>10</v>
      </c>
      <c r="D191" s="209">
        <v>185</v>
      </c>
      <c r="E191" s="210"/>
      <c r="F191" s="209">
        <f t="shared" si="2"/>
        <v>0</v>
      </c>
      <c r="G191" s="209"/>
      <c r="H191" s="208"/>
    </row>
    <row r="192" spans="1:8" ht="15.75" customHeight="1" x14ac:dyDescent="0.25">
      <c r="A192" s="212" t="s">
        <v>1012</v>
      </c>
      <c r="B192" s="207" t="s">
        <v>1013</v>
      </c>
      <c r="C192" s="208">
        <v>10</v>
      </c>
      <c r="D192" s="209">
        <v>180</v>
      </c>
      <c r="E192" s="210">
        <v>0</v>
      </c>
      <c r="F192" s="209">
        <f t="shared" si="2"/>
        <v>0</v>
      </c>
      <c r="G192" s="211" t="s">
        <v>809</v>
      </c>
      <c r="H192" s="208"/>
    </row>
    <row r="193" spans="1:8" ht="13.5" customHeight="1" x14ac:dyDescent="0.25">
      <c r="A193" s="212" t="s">
        <v>1014</v>
      </c>
      <c r="B193" s="207" t="s">
        <v>1013</v>
      </c>
      <c r="C193" s="208">
        <v>5</v>
      </c>
      <c r="D193" s="209">
        <v>39.950000000000003</v>
      </c>
      <c r="E193" s="210">
        <v>0</v>
      </c>
      <c r="F193" s="209">
        <f t="shared" si="2"/>
        <v>0</v>
      </c>
      <c r="G193" s="207" t="s">
        <v>913</v>
      </c>
      <c r="H193" s="208"/>
    </row>
    <row r="194" spans="1:8" ht="13.5" customHeight="1" x14ac:dyDescent="0.25">
      <c r="A194" s="212" t="s">
        <v>1014</v>
      </c>
      <c r="B194" s="207" t="s">
        <v>1013</v>
      </c>
      <c r="C194" s="208">
        <v>2</v>
      </c>
      <c r="D194" s="209">
        <v>16.5</v>
      </c>
      <c r="E194" s="210"/>
      <c r="F194" s="209">
        <f t="shared" si="2"/>
        <v>0</v>
      </c>
      <c r="G194" s="207"/>
      <c r="H194" s="208"/>
    </row>
    <row r="195" spans="1:8" ht="13.5" customHeight="1" x14ac:dyDescent="0.25">
      <c r="A195" s="207" t="s">
        <v>1015</v>
      </c>
      <c r="B195" s="207" t="s">
        <v>1013</v>
      </c>
      <c r="C195" s="208">
        <v>2</v>
      </c>
      <c r="D195" s="209">
        <v>31</v>
      </c>
      <c r="E195" s="210"/>
      <c r="F195" s="209">
        <f t="shared" si="2"/>
        <v>0</v>
      </c>
      <c r="G195" s="208"/>
      <c r="H195" s="208"/>
    </row>
    <row r="196" spans="1:8" ht="13.5" customHeight="1" x14ac:dyDescent="0.25">
      <c r="A196" s="207" t="s">
        <v>1016</v>
      </c>
      <c r="B196" s="207" t="s">
        <v>1017</v>
      </c>
      <c r="C196" s="208">
        <v>5</v>
      </c>
      <c r="D196" s="209">
        <v>32.6</v>
      </c>
      <c r="E196" s="210">
        <v>1</v>
      </c>
      <c r="F196" s="209">
        <f t="shared" si="2"/>
        <v>32.6</v>
      </c>
      <c r="G196" s="211" t="s">
        <v>767</v>
      </c>
      <c r="H196" s="208"/>
    </row>
    <row r="197" spans="1:8" ht="13.5" customHeight="1" x14ac:dyDescent="0.25">
      <c r="A197" s="207" t="s">
        <v>1018</v>
      </c>
      <c r="B197" s="207" t="s">
        <v>1017</v>
      </c>
      <c r="C197" s="208"/>
      <c r="D197" s="209">
        <v>12</v>
      </c>
      <c r="E197" s="210"/>
      <c r="F197" s="209">
        <f t="shared" si="2"/>
        <v>0</v>
      </c>
      <c r="G197" s="209"/>
      <c r="H197" s="208"/>
    </row>
    <row r="198" spans="1:8" ht="13.5" customHeight="1" x14ac:dyDescent="0.25">
      <c r="A198" s="207" t="s">
        <v>1015</v>
      </c>
      <c r="B198" s="207" t="s">
        <v>1017</v>
      </c>
      <c r="C198" s="208"/>
      <c r="D198" s="209">
        <v>16.399999999999999</v>
      </c>
      <c r="E198" s="210">
        <v>0.5</v>
      </c>
      <c r="F198" s="209">
        <f t="shared" si="2"/>
        <v>8.1999999999999993</v>
      </c>
      <c r="G198" s="211" t="s">
        <v>767</v>
      </c>
      <c r="H198" s="208"/>
    </row>
    <row r="199" spans="1:8" ht="15.75" customHeight="1" x14ac:dyDescent="0.25">
      <c r="A199" s="207" t="s">
        <v>1015</v>
      </c>
      <c r="B199" s="207" t="s">
        <v>1017</v>
      </c>
      <c r="C199" s="207" t="s">
        <v>724</v>
      </c>
      <c r="D199" s="209">
        <v>63</v>
      </c>
      <c r="E199" s="210"/>
      <c r="F199" s="209">
        <f t="shared" si="2"/>
        <v>0</v>
      </c>
      <c r="G199" s="209"/>
      <c r="H199" s="208"/>
    </row>
    <row r="200" spans="1:8" ht="13.5" customHeight="1" x14ac:dyDescent="0.25">
      <c r="A200" s="207" t="s">
        <v>1019</v>
      </c>
      <c r="B200" s="207" t="s">
        <v>1017</v>
      </c>
      <c r="C200" s="208"/>
      <c r="D200" s="209">
        <v>4.0999999999999996</v>
      </c>
      <c r="E200" s="210"/>
      <c r="F200" s="209">
        <f t="shared" si="2"/>
        <v>0</v>
      </c>
      <c r="G200" s="207" t="s">
        <v>778</v>
      </c>
      <c r="H200" s="208"/>
    </row>
    <row r="201" spans="1:8" ht="13.5" customHeight="1" x14ac:dyDescent="0.25">
      <c r="A201" s="212" t="s">
        <v>1020</v>
      </c>
      <c r="B201" s="207" t="s">
        <v>1021</v>
      </c>
      <c r="C201" s="208"/>
      <c r="D201" s="213">
        <v>29.05</v>
      </c>
      <c r="E201" s="210"/>
      <c r="F201" s="209">
        <f t="shared" ref="F201:F264" si="3">D201:D201*E201:E201</f>
        <v>0</v>
      </c>
      <c r="G201" s="207" t="s">
        <v>1022</v>
      </c>
      <c r="H201" s="208"/>
    </row>
    <row r="202" spans="1:8" ht="15.75" customHeight="1" x14ac:dyDescent="0.25">
      <c r="A202" s="207" t="s">
        <v>1023</v>
      </c>
      <c r="B202" s="207" t="s">
        <v>1017</v>
      </c>
      <c r="C202" s="207" t="s">
        <v>1024</v>
      </c>
      <c r="D202" s="209">
        <v>17.3</v>
      </c>
      <c r="E202" s="210">
        <v>0</v>
      </c>
      <c r="F202" s="209">
        <f t="shared" si="3"/>
        <v>0</v>
      </c>
      <c r="G202" s="207" t="s">
        <v>1025</v>
      </c>
      <c r="H202" s="208"/>
    </row>
    <row r="203" spans="1:8" ht="15.75" customHeight="1" x14ac:dyDescent="0.25">
      <c r="A203" s="207" t="s">
        <v>751</v>
      </c>
      <c r="B203" s="207"/>
      <c r="C203" s="207" t="s">
        <v>1026</v>
      </c>
      <c r="D203" s="209"/>
      <c r="E203" s="210"/>
      <c r="F203" s="209">
        <f t="shared" si="3"/>
        <v>0</v>
      </c>
      <c r="G203" s="207" t="s">
        <v>778</v>
      </c>
      <c r="H203" s="208"/>
    </row>
    <row r="204" spans="1:8" ht="15.75" customHeight="1" x14ac:dyDescent="0.25">
      <c r="A204" s="212" t="s">
        <v>1027</v>
      </c>
      <c r="B204" s="208"/>
      <c r="C204" s="207" t="s">
        <v>1028</v>
      </c>
      <c r="D204" s="209">
        <v>15.95</v>
      </c>
      <c r="E204" s="210"/>
      <c r="F204" s="209">
        <f t="shared" si="3"/>
        <v>0</v>
      </c>
      <c r="G204" s="208"/>
      <c r="H204" s="208"/>
    </row>
    <row r="205" spans="1:8" ht="15.75" customHeight="1" x14ac:dyDescent="0.25">
      <c r="A205" s="212" t="s">
        <v>1029</v>
      </c>
      <c r="B205" s="211" t="s">
        <v>893</v>
      </c>
      <c r="C205" s="214"/>
      <c r="D205" s="213">
        <v>38.950000000000003</v>
      </c>
      <c r="E205" s="210"/>
      <c r="F205" s="209">
        <f t="shared" si="3"/>
        <v>0</v>
      </c>
      <c r="G205" s="208"/>
      <c r="H205" s="208"/>
    </row>
    <row r="206" spans="1:8" ht="15.75" customHeight="1" x14ac:dyDescent="0.25">
      <c r="A206" s="212" t="s">
        <v>1030</v>
      </c>
      <c r="B206" s="214"/>
      <c r="C206" s="214"/>
      <c r="D206" s="213">
        <v>53.95</v>
      </c>
      <c r="E206" s="210">
        <v>0.76</v>
      </c>
      <c r="F206" s="209">
        <f t="shared" si="3"/>
        <v>41.002000000000002</v>
      </c>
      <c r="G206" s="211" t="s">
        <v>767</v>
      </c>
      <c r="H206" s="208"/>
    </row>
    <row r="207" spans="1:8" ht="15.75" customHeight="1" x14ac:dyDescent="0.25">
      <c r="A207" s="212" t="s">
        <v>1031</v>
      </c>
      <c r="B207" s="211" t="s">
        <v>893</v>
      </c>
      <c r="C207" s="214"/>
      <c r="D207" s="213">
        <v>21.95</v>
      </c>
      <c r="E207" s="210">
        <v>1.5</v>
      </c>
      <c r="F207" s="209">
        <f t="shared" si="3"/>
        <v>32.924999999999997</v>
      </c>
      <c r="G207" s="208" t="s">
        <v>767</v>
      </c>
      <c r="H207" s="208"/>
    </row>
    <row r="208" spans="1:8" ht="20.25" customHeight="1" x14ac:dyDescent="0.25">
      <c r="A208" s="212" t="s">
        <v>1032</v>
      </c>
      <c r="B208" s="211" t="s">
        <v>893</v>
      </c>
      <c r="C208" s="214"/>
      <c r="D208" s="213">
        <v>42.95</v>
      </c>
      <c r="E208" s="210"/>
      <c r="F208" s="209">
        <f t="shared" si="3"/>
        <v>0</v>
      </c>
      <c r="G208" s="207" t="s">
        <v>778</v>
      </c>
      <c r="H208" s="208"/>
    </row>
    <row r="209" spans="1:8" ht="21" customHeight="1" x14ac:dyDescent="0.25">
      <c r="A209" s="212" t="s">
        <v>1033</v>
      </c>
      <c r="B209" s="214"/>
      <c r="C209" s="214"/>
      <c r="D209" s="213">
        <v>19.95</v>
      </c>
      <c r="E209" s="210"/>
      <c r="F209" s="209">
        <f t="shared" si="3"/>
        <v>0</v>
      </c>
      <c r="G209" s="209"/>
      <c r="H209" s="208"/>
    </row>
    <row r="210" spans="1:8" ht="21" customHeight="1" x14ac:dyDescent="0.25">
      <c r="A210" s="212" t="s">
        <v>1034</v>
      </c>
      <c r="B210" s="214"/>
      <c r="C210" s="214"/>
      <c r="D210" s="213">
        <v>28.5</v>
      </c>
      <c r="E210" s="210">
        <v>3.09</v>
      </c>
      <c r="F210" s="209">
        <f t="shared" si="3"/>
        <v>88.064999999999998</v>
      </c>
      <c r="G210" s="211" t="s">
        <v>767</v>
      </c>
      <c r="H210" s="208"/>
    </row>
    <row r="211" spans="1:8" ht="21" customHeight="1" x14ac:dyDescent="0.25">
      <c r="A211" s="212" t="s">
        <v>1035</v>
      </c>
      <c r="B211" s="214"/>
      <c r="C211" s="214"/>
      <c r="D211" s="213">
        <v>28.5</v>
      </c>
      <c r="E211" s="210"/>
      <c r="F211" s="209">
        <f t="shared" si="3"/>
        <v>0</v>
      </c>
      <c r="G211" s="208"/>
      <c r="H211" s="208"/>
    </row>
    <row r="212" spans="1:8" ht="15.75" customHeight="1" x14ac:dyDescent="0.25">
      <c r="A212" s="212" t="s">
        <v>1036</v>
      </c>
      <c r="B212" s="211" t="s">
        <v>893</v>
      </c>
      <c r="C212" s="214"/>
      <c r="D212" s="213">
        <v>49.95</v>
      </c>
      <c r="E212" s="210">
        <v>0</v>
      </c>
      <c r="F212" s="209">
        <f t="shared" si="3"/>
        <v>0</v>
      </c>
      <c r="G212" s="211" t="s">
        <v>767</v>
      </c>
      <c r="H212" s="208"/>
    </row>
    <row r="213" spans="1:8" ht="15.75" customHeight="1" x14ac:dyDescent="0.25">
      <c r="A213" s="212" t="s">
        <v>1037</v>
      </c>
      <c r="B213" s="214"/>
      <c r="C213" s="214"/>
      <c r="D213" s="213">
        <v>21</v>
      </c>
      <c r="E213" s="210">
        <v>3.2</v>
      </c>
      <c r="F213" s="209">
        <f t="shared" si="3"/>
        <v>67.2</v>
      </c>
      <c r="G213" s="211" t="s">
        <v>767</v>
      </c>
      <c r="H213" s="208"/>
    </row>
    <row r="214" spans="1:8" ht="15.75" customHeight="1" x14ac:dyDescent="0.25">
      <c r="A214" s="212" t="s">
        <v>1038</v>
      </c>
      <c r="B214" s="214"/>
      <c r="C214" s="214"/>
      <c r="D214" s="213">
        <v>72.95</v>
      </c>
      <c r="E214" s="210"/>
      <c r="F214" s="209">
        <f t="shared" si="3"/>
        <v>0</v>
      </c>
      <c r="G214" s="208"/>
      <c r="H214" s="208"/>
    </row>
    <row r="215" spans="1:8" ht="15.75" customHeight="1" x14ac:dyDescent="0.25">
      <c r="A215" s="212" t="s">
        <v>1039</v>
      </c>
      <c r="B215" s="211" t="s">
        <v>893</v>
      </c>
      <c r="C215" s="214"/>
      <c r="D215" s="213">
        <v>38.950000000000003</v>
      </c>
      <c r="E215" s="210">
        <v>4.9000000000000004</v>
      </c>
      <c r="F215" s="209">
        <f t="shared" si="3"/>
        <v>190.85500000000002</v>
      </c>
      <c r="G215" s="211" t="s">
        <v>767</v>
      </c>
      <c r="H215" s="208"/>
    </row>
    <row r="216" spans="1:8" ht="15.75" customHeight="1" x14ac:dyDescent="0.25">
      <c r="A216" s="212" t="s">
        <v>1040</v>
      </c>
      <c r="B216" s="211" t="s">
        <v>893</v>
      </c>
      <c r="C216" s="214"/>
      <c r="D216" s="213">
        <v>49.95</v>
      </c>
      <c r="E216" s="210"/>
      <c r="F216" s="209">
        <f t="shared" si="3"/>
        <v>0</v>
      </c>
      <c r="G216" s="207" t="s">
        <v>778</v>
      </c>
      <c r="H216" s="208"/>
    </row>
    <row r="217" spans="1:8" ht="15.75" customHeight="1" x14ac:dyDescent="0.25">
      <c r="A217" s="212" t="s">
        <v>1041</v>
      </c>
      <c r="B217" s="214"/>
      <c r="C217" s="214"/>
      <c r="D217" s="213">
        <v>32.950000000000003</v>
      </c>
      <c r="E217" s="210"/>
      <c r="F217" s="209">
        <f t="shared" si="3"/>
        <v>0</v>
      </c>
      <c r="G217" s="208"/>
      <c r="H217" s="208"/>
    </row>
    <row r="218" spans="1:8" ht="15.75" customHeight="1" x14ac:dyDescent="0.25">
      <c r="A218" s="212" t="s">
        <v>1042</v>
      </c>
      <c r="B218" s="211" t="s">
        <v>1043</v>
      </c>
      <c r="C218" s="214"/>
      <c r="D218" s="213">
        <v>29.5</v>
      </c>
      <c r="E218" s="210">
        <v>1.8</v>
      </c>
      <c r="F218" s="209">
        <f t="shared" si="3"/>
        <v>53.1</v>
      </c>
      <c r="G218" s="211" t="s">
        <v>767</v>
      </c>
      <c r="H218" s="208"/>
    </row>
    <row r="219" spans="1:8" ht="15.75" customHeight="1" x14ac:dyDescent="0.25">
      <c r="A219" s="212" t="s">
        <v>1044</v>
      </c>
      <c r="B219" s="214"/>
      <c r="C219" s="214"/>
      <c r="D219" s="213">
        <v>19.95</v>
      </c>
      <c r="E219" s="210"/>
      <c r="F219" s="209">
        <f t="shared" si="3"/>
        <v>0</v>
      </c>
      <c r="G219" s="208"/>
      <c r="H219" s="208"/>
    </row>
    <row r="220" spans="1:8" ht="15.75" customHeight="1" x14ac:dyDescent="0.25">
      <c r="A220" s="212" t="s">
        <v>1045</v>
      </c>
      <c r="B220" s="214"/>
      <c r="C220" s="211" t="s">
        <v>1046</v>
      </c>
      <c r="D220" s="213">
        <v>34.5</v>
      </c>
      <c r="E220" s="210">
        <v>5</v>
      </c>
      <c r="F220" s="209">
        <f t="shared" si="3"/>
        <v>172.5</v>
      </c>
      <c r="G220" s="207" t="s">
        <v>767</v>
      </c>
      <c r="H220" s="208"/>
    </row>
    <row r="221" spans="1:8" ht="15.75" customHeight="1" x14ac:dyDescent="0.25">
      <c r="A221" s="212" t="s">
        <v>1047</v>
      </c>
      <c r="B221" s="214"/>
      <c r="C221" s="214"/>
      <c r="D221" s="213">
        <v>49.95</v>
      </c>
      <c r="E221" s="210">
        <v>0.76</v>
      </c>
      <c r="F221" s="209">
        <f t="shared" si="3"/>
        <v>37.962000000000003</v>
      </c>
      <c r="G221" s="208"/>
      <c r="H221" s="208"/>
    </row>
    <row r="222" spans="1:8" ht="13.5" customHeight="1" x14ac:dyDescent="0.25">
      <c r="A222" s="212" t="s">
        <v>1048</v>
      </c>
      <c r="B222" s="214"/>
      <c r="C222" s="214"/>
      <c r="D222" s="213">
        <v>49.95</v>
      </c>
      <c r="E222" s="210">
        <v>0.93500000000000005</v>
      </c>
      <c r="F222" s="209">
        <f t="shared" si="3"/>
        <v>46.703250000000004</v>
      </c>
      <c r="G222" s="207" t="s">
        <v>767</v>
      </c>
      <c r="H222" s="208"/>
    </row>
    <row r="223" spans="1:8" ht="13.5" customHeight="1" x14ac:dyDescent="0.25">
      <c r="A223" s="212" t="s">
        <v>1049</v>
      </c>
      <c r="B223" s="211" t="s">
        <v>893</v>
      </c>
      <c r="C223" s="214"/>
      <c r="D223" s="213">
        <v>55</v>
      </c>
      <c r="E223" s="210">
        <v>0</v>
      </c>
      <c r="F223" s="209">
        <f t="shared" si="3"/>
        <v>0</v>
      </c>
      <c r="G223" s="207" t="s">
        <v>778</v>
      </c>
      <c r="H223" s="208"/>
    </row>
    <row r="224" spans="1:8" ht="15.75" customHeight="1" x14ac:dyDescent="0.25">
      <c r="A224" s="211" t="s">
        <v>1050</v>
      </c>
      <c r="B224" s="211" t="s">
        <v>893</v>
      </c>
      <c r="C224" s="214"/>
      <c r="D224" s="213">
        <v>22.5</v>
      </c>
      <c r="E224" s="210">
        <v>7.2</v>
      </c>
      <c r="F224" s="209">
        <f t="shared" si="3"/>
        <v>162</v>
      </c>
      <c r="G224" s="211" t="s">
        <v>767</v>
      </c>
      <c r="H224" s="208"/>
    </row>
    <row r="225" spans="1:8" ht="13.5" customHeight="1" x14ac:dyDescent="0.25">
      <c r="A225" s="211" t="s">
        <v>1051</v>
      </c>
      <c r="B225" s="211" t="s">
        <v>893</v>
      </c>
      <c r="C225" s="214"/>
      <c r="D225" s="213">
        <v>31.5</v>
      </c>
      <c r="E225" s="218">
        <v>4.5</v>
      </c>
      <c r="F225" s="209">
        <f t="shared" si="3"/>
        <v>141.75</v>
      </c>
      <c r="G225" s="211" t="s">
        <v>767</v>
      </c>
      <c r="H225" s="208"/>
    </row>
    <row r="226" spans="1:8" ht="13.5" customHeight="1" x14ac:dyDescent="0.25">
      <c r="A226" s="212" t="s">
        <v>1052</v>
      </c>
      <c r="B226" s="214"/>
      <c r="C226" s="214"/>
      <c r="D226" s="213">
        <v>42.95</v>
      </c>
      <c r="E226" s="218">
        <v>0</v>
      </c>
      <c r="F226" s="209">
        <f t="shared" si="3"/>
        <v>0</v>
      </c>
      <c r="G226" s="211" t="s">
        <v>778</v>
      </c>
      <c r="H226" s="208"/>
    </row>
    <row r="227" spans="1:8" ht="13.5" customHeight="1" x14ac:dyDescent="0.25">
      <c r="A227" s="211" t="s">
        <v>1053</v>
      </c>
      <c r="B227" s="211" t="s">
        <v>893</v>
      </c>
      <c r="C227" s="214"/>
      <c r="D227" s="213">
        <v>37.5</v>
      </c>
      <c r="E227" s="210">
        <v>0</v>
      </c>
      <c r="F227" s="209">
        <f t="shared" si="3"/>
        <v>0</v>
      </c>
      <c r="G227" s="207" t="s">
        <v>767</v>
      </c>
      <c r="H227" s="208"/>
    </row>
    <row r="228" spans="1:8" ht="13.5" customHeight="1" x14ac:dyDescent="0.25">
      <c r="A228" s="211" t="s">
        <v>1054</v>
      </c>
      <c r="B228" s="211" t="s">
        <v>893</v>
      </c>
      <c r="C228" s="214"/>
      <c r="D228" s="213">
        <v>8.5</v>
      </c>
      <c r="E228" s="210">
        <v>0</v>
      </c>
      <c r="F228" s="209">
        <f t="shared" si="3"/>
        <v>0</v>
      </c>
      <c r="G228" s="211" t="s">
        <v>767</v>
      </c>
      <c r="H228" s="208"/>
    </row>
    <row r="229" spans="1:8" ht="15.75" customHeight="1" x14ac:dyDescent="0.25">
      <c r="A229" s="211" t="s">
        <v>1055</v>
      </c>
      <c r="B229" s="211" t="s">
        <v>893</v>
      </c>
      <c r="C229" s="214"/>
      <c r="D229" s="213">
        <v>25.5</v>
      </c>
      <c r="E229" s="210">
        <v>4</v>
      </c>
      <c r="F229" s="209">
        <f t="shared" si="3"/>
        <v>102</v>
      </c>
      <c r="G229" s="211" t="s">
        <v>767</v>
      </c>
      <c r="H229" s="208"/>
    </row>
    <row r="230" spans="1:8" ht="13.5" customHeight="1" x14ac:dyDescent="0.25">
      <c r="A230" s="211" t="s">
        <v>1056</v>
      </c>
      <c r="B230" s="211" t="s">
        <v>893</v>
      </c>
      <c r="C230" s="214"/>
      <c r="D230" s="213">
        <v>22.95</v>
      </c>
      <c r="E230" s="210">
        <v>0</v>
      </c>
      <c r="F230" s="209">
        <f t="shared" si="3"/>
        <v>0</v>
      </c>
      <c r="G230" s="211"/>
      <c r="H230" s="208"/>
    </row>
    <row r="231" spans="1:8" ht="15.75" customHeight="1" x14ac:dyDescent="0.25">
      <c r="A231" s="212" t="s">
        <v>1057</v>
      </c>
      <c r="B231" s="211" t="s">
        <v>893</v>
      </c>
      <c r="C231" s="214"/>
      <c r="D231" s="213">
        <v>23.5</v>
      </c>
      <c r="E231" s="210"/>
      <c r="F231" s="209">
        <f t="shared" si="3"/>
        <v>0</v>
      </c>
      <c r="G231" s="211" t="s">
        <v>767</v>
      </c>
      <c r="H231" s="208"/>
    </row>
    <row r="232" spans="1:8" ht="15.75" customHeight="1" x14ac:dyDescent="0.25">
      <c r="A232" s="211" t="s">
        <v>1058</v>
      </c>
      <c r="B232" s="211" t="s">
        <v>893</v>
      </c>
      <c r="C232" s="214"/>
      <c r="D232" s="213">
        <v>34.950000000000003</v>
      </c>
      <c r="E232" s="210"/>
      <c r="F232" s="209">
        <f t="shared" si="3"/>
        <v>0</v>
      </c>
      <c r="G232" s="207" t="s">
        <v>778</v>
      </c>
      <c r="H232" s="208"/>
    </row>
    <row r="233" spans="1:8" ht="15.75" customHeight="1" x14ac:dyDescent="0.25">
      <c r="A233" s="212" t="s">
        <v>1059</v>
      </c>
      <c r="B233" s="214"/>
      <c r="C233" s="214"/>
      <c r="D233" s="213">
        <v>38.5</v>
      </c>
      <c r="E233" s="210"/>
      <c r="F233" s="209">
        <f t="shared" si="3"/>
        <v>0</v>
      </c>
      <c r="G233" s="207" t="s">
        <v>778</v>
      </c>
      <c r="H233" s="208"/>
    </row>
    <row r="234" spans="1:8" ht="15.75" customHeight="1" x14ac:dyDescent="0.25">
      <c r="A234" s="212" t="s">
        <v>1060</v>
      </c>
      <c r="B234" s="211" t="s">
        <v>893</v>
      </c>
      <c r="C234" s="214"/>
      <c r="D234" s="213">
        <v>99.5</v>
      </c>
      <c r="E234" s="210"/>
      <c r="F234" s="209">
        <f t="shared" si="3"/>
        <v>0</v>
      </c>
      <c r="G234" s="208"/>
      <c r="H234" s="208"/>
    </row>
    <row r="235" spans="1:8" ht="15.75" customHeight="1" x14ac:dyDescent="0.25">
      <c r="A235" s="212" t="s">
        <v>1061</v>
      </c>
      <c r="B235" s="214"/>
      <c r="C235" s="214"/>
      <c r="D235" s="213">
        <v>35</v>
      </c>
      <c r="E235" s="210">
        <v>0</v>
      </c>
      <c r="F235" s="209">
        <f t="shared" si="3"/>
        <v>0</v>
      </c>
      <c r="G235" s="211"/>
      <c r="H235" s="208"/>
    </row>
    <row r="236" spans="1:8" ht="15.75" customHeight="1" x14ac:dyDescent="0.25">
      <c r="A236" s="212" t="s">
        <v>1062</v>
      </c>
      <c r="B236" s="211" t="s">
        <v>893</v>
      </c>
      <c r="C236" s="214"/>
      <c r="D236" s="213">
        <v>39.950000000000003</v>
      </c>
      <c r="E236" s="210">
        <v>0.753</v>
      </c>
      <c r="F236" s="209">
        <f t="shared" si="3"/>
        <v>30.082350000000002</v>
      </c>
      <c r="G236" s="208" t="s">
        <v>767</v>
      </c>
      <c r="H236" s="208"/>
    </row>
    <row r="237" spans="1:8" ht="13.5" customHeight="1" x14ac:dyDescent="0.25">
      <c r="A237" s="212" t="s">
        <v>1063</v>
      </c>
      <c r="B237" s="211" t="s">
        <v>893</v>
      </c>
      <c r="C237" s="214"/>
      <c r="D237" s="213">
        <v>42.95</v>
      </c>
      <c r="E237" s="210"/>
      <c r="F237" s="209">
        <f t="shared" si="3"/>
        <v>0</v>
      </c>
      <c r="G237" s="211" t="s">
        <v>767</v>
      </c>
      <c r="H237" s="208"/>
    </row>
    <row r="238" spans="1:8" ht="13.5" customHeight="1" x14ac:dyDescent="0.25">
      <c r="A238" s="212" t="s">
        <v>1064</v>
      </c>
      <c r="B238" s="211" t="s">
        <v>893</v>
      </c>
      <c r="C238" s="214"/>
      <c r="D238" s="213">
        <v>55.95</v>
      </c>
      <c r="E238" s="210">
        <v>1.98</v>
      </c>
      <c r="F238" s="209">
        <f t="shared" si="3"/>
        <v>110.78100000000001</v>
      </c>
      <c r="G238" s="211" t="s">
        <v>767</v>
      </c>
      <c r="H238" s="208"/>
    </row>
    <row r="239" spans="1:8" ht="15.75" customHeight="1" x14ac:dyDescent="0.25">
      <c r="A239" s="211" t="s">
        <v>1065</v>
      </c>
      <c r="B239" s="211" t="s">
        <v>893</v>
      </c>
      <c r="C239" s="214"/>
      <c r="D239" s="213">
        <v>32.950000000000003</v>
      </c>
      <c r="E239" s="210">
        <v>0</v>
      </c>
      <c r="F239" s="209">
        <f t="shared" si="3"/>
        <v>0</v>
      </c>
      <c r="G239" s="211" t="s">
        <v>778</v>
      </c>
      <c r="H239" s="208"/>
    </row>
    <row r="240" spans="1:8" ht="15.75" customHeight="1" x14ac:dyDescent="0.25">
      <c r="A240" s="211" t="s">
        <v>1066</v>
      </c>
      <c r="B240" s="211" t="s">
        <v>893</v>
      </c>
      <c r="C240" s="214"/>
      <c r="D240" s="213">
        <v>39.950000000000003</v>
      </c>
      <c r="E240" s="210">
        <v>0</v>
      </c>
      <c r="F240" s="209">
        <f t="shared" si="3"/>
        <v>0</v>
      </c>
      <c r="G240" s="211" t="s">
        <v>778</v>
      </c>
      <c r="H240" s="208"/>
    </row>
    <row r="241" spans="1:8" ht="15.75" customHeight="1" x14ac:dyDescent="0.25">
      <c r="A241" s="212" t="s">
        <v>1067</v>
      </c>
      <c r="B241" s="214"/>
      <c r="C241" s="214"/>
      <c r="D241" s="213">
        <v>45</v>
      </c>
      <c r="E241" s="210"/>
      <c r="F241" s="209">
        <f t="shared" si="3"/>
        <v>0</v>
      </c>
      <c r="G241" s="207" t="s">
        <v>778</v>
      </c>
      <c r="H241" s="208"/>
    </row>
    <row r="242" spans="1:8" ht="15.75" customHeight="1" x14ac:dyDescent="0.25">
      <c r="A242" s="212" t="s">
        <v>1068</v>
      </c>
      <c r="B242" s="214"/>
      <c r="C242" s="214"/>
      <c r="D242" s="213">
        <v>21.95</v>
      </c>
      <c r="E242" s="210"/>
      <c r="F242" s="209">
        <f t="shared" si="3"/>
        <v>0</v>
      </c>
      <c r="G242" s="208"/>
      <c r="H242" s="208"/>
    </row>
    <row r="243" spans="1:8" ht="15.75" customHeight="1" x14ac:dyDescent="0.25">
      <c r="A243" s="212" t="s">
        <v>1069</v>
      </c>
      <c r="B243" s="214"/>
      <c r="C243" s="214"/>
      <c r="D243" s="213">
        <v>39.950000000000003</v>
      </c>
      <c r="E243" s="208">
        <v>1.45</v>
      </c>
      <c r="F243" s="209">
        <f t="shared" si="3"/>
        <v>57.927500000000002</v>
      </c>
      <c r="G243" s="211" t="s">
        <v>974</v>
      </c>
      <c r="H243" s="208"/>
    </row>
    <row r="244" spans="1:8" ht="15.75" customHeight="1" x14ac:dyDescent="0.25">
      <c r="A244" s="212" t="s">
        <v>1070</v>
      </c>
      <c r="B244" s="211" t="s">
        <v>893</v>
      </c>
      <c r="C244" s="214"/>
      <c r="D244" s="213">
        <v>39.950000000000003</v>
      </c>
      <c r="E244" s="208"/>
      <c r="F244" s="209">
        <f t="shared" si="3"/>
        <v>0</v>
      </c>
      <c r="G244" s="208"/>
      <c r="H244" s="208"/>
    </row>
    <row r="245" spans="1:8" ht="15.75" customHeight="1" x14ac:dyDescent="0.25">
      <c r="A245" s="212" t="s">
        <v>1071</v>
      </c>
      <c r="B245" s="214"/>
      <c r="C245" s="214"/>
      <c r="D245" s="213">
        <v>49.95</v>
      </c>
      <c r="E245" s="208"/>
      <c r="F245" s="209">
        <f t="shared" si="3"/>
        <v>0</v>
      </c>
      <c r="G245" s="208"/>
      <c r="H245" s="208"/>
    </row>
    <row r="246" spans="1:8" ht="15.75" customHeight="1" x14ac:dyDescent="0.25">
      <c r="A246" s="212" t="s">
        <v>1072</v>
      </c>
      <c r="B246" s="211" t="s">
        <v>893</v>
      </c>
      <c r="C246" s="214"/>
      <c r="D246" s="213">
        <v>39.950000000000003</v>
      </c>
      <c r="E246" s="208"/>
      <c r="F246" s="209">
        <f t="shared" si="3"/>
        <v>0</v>
      </c>
      <c r="G246" s="208"/>
      <c r="H246" s="208"/>
    </row>
    <row r="247" spans="1:8" ht="15.75" customHeight="1" x14ac:dyDescent="0.25">
      <c r="A247" s="212" t="s">
        <v>1073</v>
      </c>
      <c r="B247" s="211" t="s">
        <v>893</v>
      </c>
      <c r="C247" s="214"/>
      <c r="D247" s="213">
        <v>29.95</v>
      </c>
      <c r="E247" s="208">
        <v>2.85</v>
      </c>
      <c r="F247" s="209">
        <f t="shared" si="3"/>
        <v>85.357500000000002</v>
      </c>
      <c r="G247" s="207" t="s">
        <v>767</v>
      </c>
      <c r="H247" s="208"/>
    </row>
    <row r="248" spans="1:8" ht="15.75" customHeight="1" x14ac:dyDescent="0.25">
      <c r="A248" s="212" t="s">
        <v>1074</v>
      </c>
      <c r="B248" s="211" t="s">
        <v>893</v>
      </c>
      <c r="C248" s="214"/>
      <c r="D248" s="213">
        <v>29.5</v>
      </c>
      <c r="E248" s="208"/>
      <c r="F248" s="209">
        <f t="shared" si="3"/>
        <v>0</v>
      </c>
      <c r="G248" s="208"/>
      <c r="H248" s="208"/>
    </row>
    <row r="249" spans="1:8" ht="15.75" customHeight="1" x14ac:dyDescent="0.25">
      <c r="A249" s="212" t="s">
        <v>1075</v>
      </c>
      <c r="B249" s="214"/>
      <c r="C249" s="214"/>
      <c r="D249" s="213">
        <v>49.95</v>
      </c>
      <c r="E249" s="214">
        <v>0</v>
      </c>
      <c r="F249" s="209">
        <f t="shared" si="3"/>
        <v>0</v>
      </c>
      <c r="G249" s="211" t="s">
        <v>778</v>
      </c>
      <c r="H249" s="208"/>
    </row>
    <row r="250" spans="1:8" ht="15.75" customHeight="1" x14ac:dyDescent="0.25">
      <c r="A250" s="212" t="s">
        <v>1076</v>
      </c>
      <c r="B250" s="211" t="s">
        <v>893</v>
      </c>
      <c r="C250" s="214"/>
      <c r="D250" s="213">
        <v>40.950000000000003</v>
      </c>
      <c r="E250" s="208"/>
      <c r="F250" s="209">
        <f t="shared" si="3"/>
        <v>0</v>
      </c>
      <c r="G250" s="208"/>
      <c r="H250" s="208"/>
    </row>
    <row r="251" spans="1:8" ht="15.75" customHeight="1" x14ac:dyDescent="0.25">
      <c r="A251" s="212" t="s">
        <v>1077</v>
      </c>
      <c r="B251" s="214"/>
      <c r="C251" s="214"/>
      <c r="D251" s="213">
        <v>57.5</v>
      </c>
      <c r="E251" s="210"/>
      <c r="F251" s="209">
        <f t="shared" si="3"/>
        <v>0</v>
      </c>
      <c r="G251" s="208"/>
      <c r="H251" s="208"/>
    </row>
    <row r="252" spans="1:8" ht="15.75" customHeight="1" x14ac:dyDescent="0.25">
      <c r="A252" s="212" t="s">
        <v>994</v>
      </c>
      <c r="B252" s="211" t="s">
        <v>893</v>
      </c>
      <c r="C252" s="214"/>
      <c r="D252" s="213">
        <v>44.5</v>
      </c>
      <c r="E252" s="208"/>
      <c r="F252" s="209">
        <f t="shared" si="3"/>
        <v>0</v>
      </c>
      <c r="G252" s="207" t="s">
        <v>778</v>
      </c>
      <c r="H252" s="208"/>
    </row>
    <row r="253" spans="1:8" ht="15.75" customHeight="1" x14ac:dyDescent="0.25">
      <c r="A253" s="212" t="s">
        <v>1078</v>
      </c>
      <c r="B253" s="214"/>
      <c r="C253" s="214"/>
      <c r="D253" s="213">
        <v>30</v>
      </c>
      <c r="E253" s="208">
        <v>1</v>
      </c>
      <c r="F253" s="209">
        <f t="shared" si="3"/>
        <v>30</v>
      </c>
      <c r="G253" s="211" t="s">
        <v>767</v>
      </c>
      <c r="H253" s="208"/>
    </row>
    <row r="254" spans="1:8" ht="15.75" customHeight="1" x14ac:dyDescent="0.25">
      <c r="A254" s="212" t="s">
        <v>1079</v>
      </c>
      <c r="B254" s="214"/>
      <c r="C254" s="214"/>
      <c r="D254" s="213">
        <v>30</v>
      </c>
      <c r="E254" s="210">
        <v>0</v>
      </c>
      <c r="F254" s="209">
        <f t="shared" si="3"/>
        <v>0</v>
      </c>
      <c r="G254" s="207" t="s">
        <v>778</v>
      </c>
      <c r="H254" s="208"/>
    </row>
    <row r="255" spans="1:8" ht="15.75" customHeight="1" x14ac:dyDescent="0.25">
      <c r="A255" s="212" t="s">
        <v>1080</v>
      </c>
      <c r="B255" s="214"/>
      <c r="C255" s="214">
        <v>2</v>
      </c>
      <c r="D255" s="213">
        <v>21.5</v>
      </c>
      <c r="E255" s="208">
        <v>3.5</v>
      </c>
      <c r="F255" s="209">
        <f t="shared" si="3"/>
        <v>75.25</v>
      </c>
      <c r="G255" s="211" t="s">
        <v>767</v>
      </c>
      <c r="H255" s="208"/>
    </row>
    <row r="256" spans="1:8" ht="15.75" customHeight="1" x14ac:dyDescent="0.25">
      <c r="A256" s="212" t="s">
        <v>1081</v>
      </c>
      <c r="B256" s="214"/>
      <c r="C256" s="214" t="s">
        <v>1082</v>
      </c>
      <c r="D256" s="213">
        <v>21.95</v>
      </c>
      <c r="E256" s="210">
        <v>3</v>
      </c>
      <c r="F256" s="209">
        <f t="shared" si="3"/>
        <v>65.849999999999994</v>
      </c>
      <c r="G256" s="211" t="s">
        <v>767</v>
      </c>
      <c r="H256" s="208"/>
    </row>
    <row r="257" spans="1:8" ht="15.75" customHeight="1" x14ac:dyDescent="0.25">
      <c r="A257" s="212" t="s">
        <v>1083</v>
      </c>
      <c r="B257" s="214"/>
      <c r="C257" s="214"/>
      <c r="D257" s="213">
        <v>40.950000000000003</v>
      </c>
      <c r="E257" s="208">
        <v>0</v>
      </c>
      <c r="F257" s="209">
        <f t="shared" si="3"/>
        <v>0</v>
      </c>
      <c r="G257" s="211" t="s">
        <v>778</v>
      </c>
      <c r="H257" s="208" t="s">
        <v>1084</v>
      </c>
    </row>
    <row r="258" spans="1:8" ht="15.75" customHeight="1" x14ac:dyDescent="0.25">
      <c r="A258" s="212" t="s">
        <v>1085</v>
      </c>
      <c r="B258" s="214"/>
      <c r="C258" s="214"/>
      <c r="D258" s="213">
        <v>28.5</v>
      </c>
      <c r="E258" s="208">
        <v>0</v>
      </c>
      <c r="F258" s="209">
        <f t="shared" si="3"/>
        <v>0</v>
      </c>
      <c r="G258" s="211" t="s">
        <v>767</v>
      </c>
      <c r="H258" s="208"/>
    </row>
    <row r="259" spans="1:8" ht="15.75" customHeight="1" x14ac:dyDescent="0.25">
      <c r="A259" s="212" t="s">
        <v>1086</v>
      </c>
      <c r="B259" s="214"/>
      <c r="C259" s="214"/>
      <c r="D259" s="213">
        <v>21.5</v>
      </c>
      <c r="E259" s="208">
        <v>1</v>
      </c>
      <c r="F259" s="209">
        <f t="shared" si="3"/>
        <v>21.5</v>
      </c>
      <c r="G259" s="207" t="s">
        <v>767</v>
      </c>
      <c r="H259" s="208"/>
    </row>
    <row r="260" spans="1:8" ht="15.75" customHeight="1" x14ac:dyDescent="0.25">
      <c r="A260" s="212" t="s">
        <v>1087</v>
      </c>
      <c r="B260" s="214"/>
      <c r="C260" s="214"/>
      <c r="D260" s="213">
        <v>57.95</v>
      </c>
      <c r="E260" s="208"/>
      <c r="F260" s="209">
        <f t="shared" si="3"/>
        <v>0</v>
      </c>
      <c r="G260" s="208"/>
      <c r="H260" s="208"/>
    </row>
    <row r="261" spans="1:8" ht="15.75" customHeight="1" x14ac:dyDescent="0.25">
      <c r="A261" s="212" t="s">
        <v>1088</v>
      </c>
      <c r="B261" s="214"/>
      <c r="C261" s="214"/>
      <c r="D261" s="213">
        <v>52</v>
      </c>
      <c r="E261" s="208">
        <v>0.44</v>
      </c>
      <c r="F261" s="209">
        <f t="shared" si="3"/>
        <v>22.88</v>
      </c>
      <c r="G261" s="207" t="s">
        <v>882</v>
      </c>
      <c r="H261" s="208"/>
    </row>
    <row r="262" spans="1:8" ht="15.75" customHeight="1" x14ac:dyDescent="0.25">
      <c r="A262" s="212" t="s">
        <v>1089</v>
      </c>
      <c r="B262" s="214"/>
      <c r="C262" s="214"/>
      <c r="D262" s="213">
        <v>36.950000000000003</v>
      </c>
      <c r="E262" s="208"/>
      <c r="F262" s="209">
        <f t="shared" si="3"/>
        <v>0</v>
      </c>
      <c r="G262" s="209"/>
      <c r="H262" s="208"/>
    </row>
    <row r="263" spans="1:8" ht="15.75" customHeight="1" x14ac:dyDescent="0.25">
      <c r="A263" s="212" t="s">
        <v>1090</v>
      </c>
      <c r="B263" s="214"/>
      <c r="C263" s="214"/>
      <c r="D263" s="213">
        <v>51.95</v>
      </c>
      <c r="E263" s="208"/>
      <c r="F263" s="209">
        <f t="shared" si="3"/>
        <v>0</v>
      </c>
      <c r="G263" s="208"/>
      <c r="H263" s="208"/>
    </row>
    <row r="264" spans="1:8" ht="15.75" customHeight="1" x14ac:dyDescent="0.25">
      <c r="A264" s="212" t="s">
        <v>1091</v>
      </c>
      <c r="B264" s="214"/>
      <c r="C264" s="214"/>
      <c r="D264" s="213">
        <v>75.95</v>
      </c>
      <c r="E264" s="208"/>
      <c r="F264" s="209">
        <f t="shared" si="3"/>
        <v>0</v>
      </c>
      <c r="G264" s="208"/>
      <c r="H264" s="208"/>
    </row>
    <row r="265" spans="1:8" ht="15.75" customHeight="1" x14ac:dyDescent="0.25">
      <c r="A265" s="212" t="s">
        <v>1092</v>
      </c>
      <c r="B265" s="214"/>
      <c r="C265" s="214"/>
      <c r="D265" s="213">
        <v>31.95</v>
      </c>
      <c r="E265" s="208"/>
      <c r="F265" s="209">
        <f t="shared" ref="F265:F333" si="4">D265:D265*E265:E265</f>
        <v>0</v>
      </c>
      <c r="G265" s="207" t="s">
        <v>778</v>
      </c>
      <c r="H265" s="208"/>
    </row>
    <row r="266" spans="1:8" ht="15.75" customHeight="1" x14ac:dyDescent="0.25">
      <c r="A266" s="212" t="s">
        <v>1093</v>
      </c>
      <c r="B266" s="214"/>
      <c r="C266" s="214" t="s">
        <v>896</v>
      </c>
      <c r="D266" s="213">
        <v>19.95</v>
      </c>
      <c r="E266" s="208">
        <v>1</v>
      </c>
      <c r="F266" s="209">
        <f t="shared" si="4"/>
        <v>19.95</v>
      </c>
      <c r="G266" s="207" t="s">
        <v>767</v>
      </c>
      <c r="H266" s="208"/>
    </row>
    <row r="267" spans="1:8" ht="15.75" customHeight="1" x14ac:dyDescent="0.25">
      <c r="A267" s="212" t="s">
        <v>1094</v>
      </c>
      <c r="B267" s="214"/>
      <c r="C267" s="214"/>
      <c r="D267" s="213">
        <v>35.950000000000003</v>
      </c>
      <c r="E267" s="208">
        <v>1.19</v>
      </c>
      <c r="F267" s="209">
        <f t="shared" si="4"/>
        <v>42.780500000000004</v>
      </c>
      <c r="G267" s="207" t="s">
        <v>882</v>
      </c>
      <c r="H267" s="208"/>
    </row>
    <row r="268" spans="1:8" ht="15.75" customHeight="1" x14ac:dyDescent="0.25">
      <c r="A268" s="212" t="s">
        <v>1095</v>
      </c>
      <c r="B268" s="214"/>
      <c r="C268" s="214"/>
      <c r="D268" s="213">
        <v>44.95</v>
      </c>
      <c r="E268" s="210">
        <v>0.25</v>
      </c>
      <c r="F268" s="209">
        <f t="shared" si="4"/>
        <v>11.237500000000001</v>
      </c>
      <c r="G268" s="211" t="s">
        <v>767</v>
      </c>
      <c r="H268" s="208"/>
    </row>
    <row r="269" spans="1:8" ht="15.75" customHeight="1" x14ac:dyDescent="0.25">
      <c r="A269" s="212" t="s">
        <v>1096</v>
      </c>
      <c r="B269" s="214"/>
      <c r="C269" s="214"/>
      <c r="D269" s="213">
        <v>26.95</v>
      </c>
      <c r="E269" s="208"/>
      <c r="F269" s="209">
        <f t="shared" si="4"/>
        <v>0</v>
      </c>
      <c r="G269" s="207"/>
      <c r="H269" s="208"/>
    </row>
    <row r="270" spans="1:8" ht="13.5" customHeight="1" x14ac:dyDescent="0.25">
      <c r="A270" s="212" t="s">
        <v>1097</v>
      </c>
      <c r="B270" s="214"/>
      <c r="C270" s="214"/>
      <c r="D270" s="213">
        <v>46.5</v>
      </c>
      <c r="E270" s="210">
        <v>1.9</v>
      </c>
      <c r="F270" s="209">
        <f t="shared" si="4"/>
        <v>88.35</v>
      </c>
      <c r="G270" s="211" t="s">
        <v>767</v>
      </c>
      <c r="H270" s="208"/>
    </row>
    <row r="271" spans="1:8" ht="13.5" customHeight="1" x14ac:dyDescent="0.25">
      <c r="A271" s="212" t="s">
        <v>1098</v>
      </c>
      <c r="B271" s="214"/>
      <c r="C271" s="214"/>
      <c r="D271" s="213">
        <v>40</v>
      </c>
      <c r="E271" s="210">
        <v>1.41</v>
      </c>
      <c r="F271" s="209">
        <f t="shared" si="4"/>
        <v>56.4</v>
      </c>
      <c r="G271" s="211" t="s">
        <v>900</v>
      </c>
      <c r="H271" s="208"/>
    </row>
    <row r="272" spans="1:8" ht="13.5" customHeight="1" x14ac:dyDescent="0.25">
      <c r="A272" s="212" t="s">
        <v>1099</v>
      </c>
      <c r="B272" s="214"/>
      <c r="C272" s="214"/>
      <c r="D272" s="213">
        <v>52</v>
      </c>
      <c r="E272" s="210">
        <v>2.8</v>
      </c>
      <c r="F272" s="209">
        <f t="shared" si="4"/>
        <v>145.6</v>
      </c>
      <c r="G272" s="211"/>
      <c r="H272" s="208"/>
    </row>
    <row r="273" spans="1:8" ht="13.5" customHeight="1" x14ac:dyDescent="0.25">
      <c r="A273" s="212" t="s">
        <v>1100</v>
      </c>
      <c r="B273" s="214"/>
      <c r="C273" s="214" t="s">
        <v>1101</v>
      </c>
      <c r="D273" s="213">
        <v>27.5</v>
      </c>
      <c r="E273" s="210">
        <v>5.33</v>
      </c>
      <c r="F273" s="209">
        <f t="shared" si="4"/>
        <v>146.57499999999999</v>
      </c>
      <c r="G273" s="211"/>
      <c r="H273" s="208"/>
    </row>
    <row r="274" spans="1:8" ht="13.5" customHeight="1" x14ac:dyDescent="0.25">
      <c r="A274" s="212" t="s">
        <v>1102</v>
      </c>
      <c r="B274" s="214"/>
      <c r="C274" s="214" t="s">
        <v>896</v>
      </c>
      <c r="D274" s="213"/>
      <c r="E274" s="210">
        <v>1</v>
      </c>
      <c r="F274" s="209">
        <f t="shared" si="4"/>
        <v>0</v>
      </c>
      <c r="G274" s="211" t="s">
        <v>767</v>
      </c>
      <c r="H274" s="208" t="s">
        <v>769</v>
      </c>
    </row>
    <row r="275" spans="1:8" ht="13.5" customHeight="1" x14ac:dyDescent="0.25">
      <c r="A275" s="211" t="s">
        <v>1103</v>
      </c>
      <c r="B275" s="211" t="s">
        <v>893</v>
      </c>
      <c r="C275" s="214"/>
      <c r="D275" s="213">
        <v>106.95</v>
      </c>
      <c r="E275" s="208">
        <v>0.75</v>
      </c>
      <c r="F275" s="209">
        <f t="shared" si="4"/>
        <v>80.212500000000006</v>
      </c>
      <c r="G275" s="211" t="s">
        <v>767</v>
      </c>
      <c r="H275" s="208"/>
    </row>
    <row r="276" spans="1:8" ht="13.5" customHeight="1" x14ac:dyDescent="0.25">
      <c r="A276" s="211" t="s">
        <v>1104</v>
      </c>
      <c r="B276" s="211" t="s">
        <v>893</v>
      </c>
      <c r="C276" s="214"/>
      <c r="D276" s="213">
        <v>106.95</v>
      </c>
      <c r="E276" s="208">
        <v>0.8</v>
      </c>
      <c r="F276" s="209">
        <f t="shared" si="4"/>
        <v>85.56</v>
      </c>
      <c r="G276" s="211" t="s">
        <v>767</v>
      </c>
      <c r="H276" s="208"/>
    </row>
    <row r="277" spans="1:8" ht="13.5" customHeight="1" x14ac:dyDescent="0.25">
      <c r="A277" s="211" t="s">
        <v>1105</v>
      </c>
      <c r="B277" s="211" t="s">
        <v>893</v>
      </c>
      <c r="C277" s="214"/>
      <c r="D277" s="213">
        <v>21.95</v>
      </c>
      <c r="E277" s="208">
        <v>2.5</v>
      </c>
      <c r="F277" s="209">
        <f t="shared" si="4"/>
        <v>54.875</v>
      </c>
      <c r="G277" s="211" t="s">
        <v>767</v>
      </c>
      <c r="H277" s="208"/>
    </row>
    <row r="278" spans="1:8" ht="13.5" customHeight="1" x14ac:dyDescent="0.25">
      <c r="A278" s="211" t="s">
        <v>1106</v>
      </c>
      <c r="B278" s="211"/>
      <c r="C278" s="214"/>
      <c r="D278" s="213">
        <v>22.5</v>
      </c>
      <c r="E278" s="208">
        <v>2.6</v>
      </c>
      <c r="F278" s="209">
        <f t="shared" si="4"/>
        <v>58.5</v>
      </c>
      <c r="G278" s="211" t="s">
        <v>767</v>
      </c>
      <c r="H278" s="208"/>
    </row>
    <row r="279" spans="1:8" ht="15.75" customHeight="1" x14ac:dyDescent="0.25">
      <c r="A279" s="211" t="s">
        <v>1107</v>
      </c>
      <c r="B279" s="211" t="s">
        <v>893</v>
      </c>
      <c r="C279" s="214"/>
      <c r="D279" s="213">
        <v>34.5</v>
      </c>
      <c r="E279" s="208">
        <v>2</v>
      </c>
      <c r="F279" s="209">
        <f t="shared" si="4"/>
        <v>69</v>
      </c>
      <c r="G279" s="211" t="s">
        <v>767</v>
      </c>
      <c r="H279" s="208"/>
    </row>
    <row r="280" spans="1:8" ht="15.75" customHeight="1" x14ac:dyDescent="0.25">
      <c r="A280" s="211" t="s">
        <v>1108</v>
      </c>
      <c r="B280" s="211"/>
      <c r="C280" s="214"/>
      <c r="D280" s="213">
        <v>13</v>
      </c>
      <c r="E280" s="208">
        <v>1</v>
      </c>
      <c r="F280" s="209">
        <f t="shared" si="4"/>
        <v>13</v>
      </c>
      <c r="G280" s="211" t="s">
        <v>767</v>
      </c>
      <c r="H280" s="208"/>
    </row>
    <row r="281" spans="1:8" ht="13.5" customHeight="1" x14ac:dyDescent="0.25">
      <c r="A281" s="211" t="s">
        <v>1109</v>
      </c>
      <c r="B281" s="211" t="s">
        <v>893</v>
      </c>
      <c r="C281" s="214"/>
      <c r="D281" s="213">
        <v>29.95</v>
      </c>
      <c r="E281" s="208">
        <v>0</v>
      </c>
      <c r="F281" s="209">
        <f t="shared" si="4"/>
        <v>0</v>
      </c>
      <c r="G281" s="211" t="s">
        <v>767</v>
      </c>
      <c r="H281" s="208"/>
    </row>
    <row r="282" spans="1:8" ht="13.5" customHeight="1" x14ac:dyDescent="0.25">
      <c r="A282" s="212" t="s">
        <v>1110</v>
      </c>
      <c r="B282" s="214"/>
      <c r="C282" s="214"/>
      <c r="D282" s="213">
        <v>6.5</v>
      </c>
      <c r="E282" s="208"/>
      <c r="F282" s="209">
        <f t="shared" si="4"/>
        <v>0</v>
      </c>
      <c r="G282" s="208"/>
      <c r="H282" s="208"/>
    </row>
    <row r="283" spans="1:8" ht="15.75" customHeight="1" x14ac:dyDescent="0.25">
      <c r="A283" s="211" t="s">
        <v>1111</v>
      </c>
      <c r="B283" s="211" t="s">
        <v>893</v>
      </c>
      <c r="C283" s="214"/>
      <c r="D283" s="213">
        <v>17.95</v>
      </c>
      <c r="E283" s="208">
        <v>1.1000000000000001</v>
      </c>
      <c r="F283" s="209">
        <f t="shared" si="4"/>
        <v>19.745000000000001</v>
      </c>
      <c r="G283" s="208"/>
      <c r="H283" s="208"/>
    </row>
    <row r="284" spans="1:8" ht="15.75" customHeight="1" x14ac:dyDescent="0.25">
      <c r="A284" s="211" t="s">
        <v>1112</v>
      </c>
      <c r="B284" s="211" t="s">
        <v>893</v>
      </c>
      <c r="C284" s="214"/>
      <c r="D284" s="213">
        <v>45</v>
      </c>
      <c r="E284" s="208">
        <v>1</v>
      </c>
      <c r="F284" s="209">
        <f t="shared" si="4"/>
        <v>45</v>
      </c>
      <c r="G284" s="208"/>
      <c r="H284" s="208"/>
    </row>
    <row r="285" spans="1:8" ht="15.75" customHeight="1" x14ac:dyDescent="0.25">
      <c r="A285" s="212" t="s">
        <v>1113</v>
      </c>
      <c r="B285" s="214"/>
      <c r="C285" s="214"/>
      <c r="D285" s="213">
        <v>39.950000000000003</v>
      </c>
      <c r="E285" s="208"/>
      <c r="F285" s="209">
        <f t="shared" si="4"/>
        <v>0</v>
      </c>
      <c r="G285" s="208"/>
      <c r="H285" s="208"/>
    </row>
    <row r="286" spans="1:8" ht="15.75" customHeight="1" x14ac:dyDescent="0.25">
      <c r="A286" s="212" t="s">
        <v>1114</v>
      </c>
      <c r="B286" s="214"/>
      <c r="C286" s="214"/>
      <c r="D286" s="213">
        <v>39.950000000000003</v>
      </c>
      <c r="E286" s="208"/>
      <c r="F286" s="209">
        <f t="shared" si="4"/>
        <v>0</v>
      </c>
      <c r="G286" s="208"/>
      <c r="H286" s="208"/>
    </row>
    <row r="287" spans="1:8" ht="15.75" customHeight="1" x14ac:dyDescent="0.25">
      <c r="A287" s="212" t="s">
        <v>1115</v>
      </c>
      <c r="B287" s="211" t="s">
        <v>893</v>
      </c>
      <c r="C287" s="214">
        <v>20</v>
      </c>
      <c r="D287" s="213">
        <v>108</v>
      </c>
      <c r="E287" s="208"/>
      <c r="F287" s="209">
        <f t="shared" si="4"/>
        <v>0</v>
      </c>
      <c r="G287" s="209"/>
      <c r="H287" s="208"/>
    </row>
    <row r="288" spans="1:8" ht="15.75" customHeight="1" x14ac:dyDescent="0.25">
      <c r="A288" s="212" t="s">
        <v>1116</v>
      </c>
      <c r="B288" s="211" t="s">
        <v>893</v>
      </c>
      <c r="C288" s="214">
        <v>5</v>
      </c>
      <c r="D288" s="213">
        <v>35.950000000000003</v>
      </c>
      <c r="E288" s="208"/>
      <c r="F288" s="209">
        <f t="shared" si="4"/>
        <v>0</v>
      </c>
      <c r="G288" s="209"/>
      <c r="H288" s="208"/>
    </row>
    <row r="289" spans="1:8" ht="15.75" customHeight="1" x14ac:dyDescent="0.25">
      <c r="A289" s="212" t="s">
        <v>1117</v>
      </c>
      <c r="B289" s="211"/>
      <c r="C289" s="214"/>
      <c r="D289" s="213">
        <v>170</v>
      </c>
      <c r="E289" s="208">
        <v>0</v>
      </c>
      <c r="F289" s="209">
        <f t="shared" si="4"/>
        <v>0</v>
      </c>
      <c r="G289" s="211" t="s">
        <v>778</v>
      </c>
      <c r="H289" s="208"/>
    </row>
    <row r="290" spans="1:8" ht="15.75" customHeight="1" x14ac:dyDescent="0.25">
      <c r="A290" s="212" t="s">
        <v>1118</v>
      </c>
      <c r="B290" s="211"/>
      <c r="C290" s="214"/>
      <c r="D290" s="213">
        <v>340</v>
      </c>
      <c r="E290" s="208">
        <v>0.1</v>
      </c>
      <c r="F290" s="209">
        <f>D290:D290*E290:E290</f>
        <v>34</v>
      </c>
      <c r="G290" s="220" t="s">
        <v>778</v>
      </c>
      <c r="H290" s="208"/>
    </row>
    <row r="291" spans="1:8" ht="15.75" customHeight="1" x14ac:dyDescent="0.25">
      <c r="A291" s="212" t="s">
        <v>1119</v>
      </c>
      <c r="B291" s="214"/>
      <c r="C291" s="214">
        <v>5</v>
      </c>
      <c r="D291" s="213">
        <v>64.95</v>
      </c>
      <c r="E291" s="210">
        <v>1</v>
      </c>
      <c r="F291" s="209">
        <f t="shared" si="4"/>
        <v>64.95</v>
      </c>
      <c r="G291" s="209"/>
      <c r="H291" s="208"/>
    </row>
    <row r="292" spans="1:8" ht="15.75" customHeight="1" x14ac:dyDescent="0.25">
      <c r="A292" s="212" t="s">
        <v>1120</v>
      </c>
      <c r="B292" s="214"/>
      <c r="C292" s="214">
        <v>2.35</v>
      </c>
      <c r="D292" s="213">
        <v>70.5</v>
      </c>
      <c r="E292" s="210">
        <v>0.5</v>
      </c>
      <c r="F292" s="209">
        <f t="shared" si="4"/>
        <v>35.25</v>
      </c>
      <c r="G292" s="209"/>
      <c r="H292" s="208"/>
    </row>
    <row r="293" spans="1:8" ht="15.75" customHeight="1" x14ac:dyDescent="0.25">
      <c r="A293" s="212" t="s">
        <v>1121</v>
      </c>
      <c r="B293" s="214"/>
      <c r="C293" s="214">
        <v>1.5</v>
      </c>
      <c r="D293" s="213">
        <v>37.5</v>
      </c>
      <c r="E293" s="208"/>
      <c r="F293" s="209">
        <f t="shared" si="4"/>
        <v>0</v>
      </c>
      <c r="G293" s="207" t="s">
        <v>778</v>
      </c>
      <c r="H293" s="208"/>
    </row>
    <row r="294" spans="1:8" ht="15.75" customHeight="1" x14ac:dyDescent="0.25">
      <c r="A294" s="212" t="s">
        <v>1122</v>
      </c>
      <c r="B294" s="214"/>
      <c r="C294" s="214"/>
      <c r="D294" s="213">
        <v>54.95</v>
      </c>
      <c r="E294" s="210">
        <v>2</v>
      </c>
      <c r="F294" s="209">
        <f t="shared" si="4"/>
        <v>109.9</v>
      </c>
      <c r="G294" s="207" t="s">
        <v>778</v>
      </c>
      <c r="H294" s="208"/>
    </row>
    <row r="295" spans="1:8" ht="15.75" customHeight="1" x14ac:dyDescent="0.25">
      <c r="A295" s="212" t="s">
        <v>1123</v>
      </c>
      <c r="B295" s="211" t="s">
        <v>893</v>
      </c>
      <c r="C295" s="214"/>
      <c r="D295" s="213">
        <v>39.950000000000003</v>
      </c>
      <c r="E295" s="208">
        <v>0.5</v>
      </c>
      <c r="F295" s="209">
        <f t="shared" si="4"/>
        <v>19.975000000000001</v>
      </c>
      <c r="G295" s="211" t="s">
        <v>767</v>
      </c>
      <c r="H295" s="208"/>
    </row>
    <row r="296" spans="1:8" ht="15.75" customHeight="1" x14ac:dyDescent="0.25">
      <c r="A296" s="212" t="s">
        <v>1124</v>
      </c>
      <c r="B296" s="211" t="s">
        <v>893</v>
      </c>
      <c r="C296" s="214"/>
      <c r="D296" s="213">
        <v>34.950000000000003</v>
      </c>
      <c r="E296" s="208">
        <v>0.4</v>
      </c>
      <c r="F296" s="209">
        <f t="shared" si="4"/>
        <v>13.980000000000002</v>
      </c>
      <c r="G296" s="211" t="s">
        <v>767</v>
      </c>
      <c r="H296" s="208"/>
    </row>
    <row r="297" spans="1:8" ht="15.75" customHeight="1" x14ac:dyDescent="0.25">
      <c r="A297" s="212" t="s">
        <v>1125</v>
      </c>
      <c r="B297" s="211" t="s">
        <v>893</v>
      </c>
      <c r="C297" s="214">
        <v>1</v>
      </c>
      <c r="D297" s="213">
        <v>7.9</v>
      </c>
      <c r="E297" s="208"/>
      <c r="F297" s="209">
        <f t="shared" si="4"/>
        <v>0</v>
      </c>
      <c r="G297" s="208"/>
      <c r="H297" s="208"/>
    </row>
    <row r="298" spans="1:8" ht="15.75" customHeight="1" x14ac:dyDescent="0.25">
      <c r="A298" s="212" t="s">
        <v>1126</v>
      </c>
      <c r="B298" s="214"/>
      <c r="C298" s="214">
        <v>5</v>
      </c>
      <c r="D298" s="213">
        <v>44.95</v>
      </c>
      <c r="E298" s="208">
        <v>1</v>
      </c>
      <c r="F298" s="209">
        <f t="shared" si="4"/>
        <v>44.95</v>
      </c>
      <c r="G298" s="211" t="s">
        <v>974</v>
      </c>
      <c r="H298" s="208"/>
    </row>
    <row r="299" spans="1:8" ht="15.75" customHeight="1" x14ac:dyDescent="0.25">
      <c r="A299" s="212" t="s">
        <v>1127</v>
      </c>
      <c r="B299" s="214"/>
      <c r="C299" s="214"/>
      <c r="D299" s="213">
        <v>10.95</v>
      </c>
      <c r="E299" s="208">
        <v>6</v>
      </c>
      <c r="F299" s="209">
        <f t="shared" si="4"/>
        <v>65.699999999999989</v>
      </c>
      <c r="G299" s="209"/>
      <c r="H299" s="208"/>
    </row>
    <row r="300" spans="1:8" ht="15.75" customHeight="1" x14ac:dyDescent="0.25">
      <c r="A300" s="212" t="s">
        <v>1128</v>
      </c>
      <c r="B300" s="214"/>
      <c r="C300" s="214"/>
      <c r="D300" s="213">
        <v>10.95</v>
      </c>
      <c r="E300" s="208">
        <v>6</v>
      </c>
      <c r="F300" s="209">
        <f t="shared" si="4"/>
        <v>65.699999999999989</v>
      </c>
      <c r="G300" s="209"/>
      <c r="H300" s="208"/>
    </row>
    <row r="301" spans="1:8" ht="15.75" customHeight="1" x14ac:dyDescent="0.25">
      <c r="A301" s="212" t="s">
        <v>1129</v>
      </c>
      <c r="B301" s="214"/>
      <c r="C301" s="214"/>
      <c r="D301" s="213">
        <v>10.95</v>
      </c>
      <c r="E301" s="208"/>
      <c r="F301" s="209">
        <f t="shared" si="4"/>
        <v>0</v>
      </c>
      <c r="G301" s="208"/>
      <c r="H301" s="208"/>
    </row>
    <row r="302" spans="1:8" ht="15.75" customHeight="1" x14ac:dyDescent="0.25">
      <c r="A302" s="212" t="s">
        <v>1130</v>
      </c>
      <c r="B302" s="214"/>
      <c r="C302" s="214"/>
      <c r="D302" s="213">
        <v>10.95</v>
      </c>
      <c r="E302" s="210">
        <v>1.8</v>
      </c>
      <c r="F302" s="209">
        <f t="shared" si="4"/>
        <v>19.71</v>
      </c>
      <c r="G302" s="209"/>
      <c r="H302" s="208"/>
    </row>
    <row r="303" spans="1:8" ht="15.75" customHeight="1" x14ac:dyDescent="0.25">
      <c r="A303" s="212" t="s">
        <v>1131</v>
      </c>
      <c r="B303" s="214"/>
      <c r="C303" s="214">
        <v>4</v>
      </c>
      <c r="D303" s="213">
        <v>58.95</v>
      </c>
      <c r="E303" s="208">
        <v>1</v>
      </c>
      <c r="F303" s="209">
        <f t="shared" si="4"/>
        <v>58.95</v>
      </c>
      <c r="G303" s="208" t="s">
        <v>767</v>
      </c>
      <c r="H303" s="208"/>
    </row>
    <row r="304" spans="1:8" ht="13.5" customHeight="1" x14ac:dyDescent="0.25">
      <c r="A304" s="212" t="s">
        <v>1132</v>
      </c>
      <c r="B304" s="214"/>
      <c r="C304" s="214">
        <v>1.7</v>
      </c>
      <c r="D304" s="213">
        <v>31</v>
      </c>
      <c r="E304" s="210">
        <v>0</v>
      </c>
      <c r="F304" s="209">
        <f t="shared" si="4"/>
        <v>0</v>
      </c>
      <c r="G304" s="211" t="s">
        <v>767</v>
      </c>
      <c r="H304" s="208"/>
    </row>
    <row r="305" spans="1:8" ht="13.5" customHeight="1" x14ac:dyDescent="0.25">
      <c r="A305" s="212" t="s">
        <v>1133</v>
      </c>
      <c r="B305" s="214"/>
      <c r="C305" s="214"/>
      <c r="D305" s="213">
        <v>34.5</v>
      </c>
      <c r="E305" s="208">
        <v>0.3</v>
      </c>
      <c r="F305" s="209">
        <f t="shared" si="4"/>
        <v>10.35</v>
      </c>
      <c r="G305" s="211" t="s">
        <v>767</v>
      </c>
      <c r="H305" s="208"/>
    </row>
    <row r="306" spans="1:8" ht="15.75" customHeight="1" x14ac:dyDescent="0.25">
      <c r="A306" s="211" t="s">
        <v>1134</v>
      </c>
      <c r="B306" s="211" t="s">
        <v>893</v>
      </c>
      <c r="C306" s="211" t="s">
        <v>1135</v>
      </c>
      <c r="D306" s="209">
        <v>12.95</v>
      </c>
      <c r="E306" s="208"/>
      <c r="F306" s="209">
        <f t="shared" si="4"/>
        <v>0</v>
      </c>
      <c r="G306" s="208"/>
      <c r="H306" s="208"/>
    </row>
    <row r="307" spans="1:8" ht="15.75" customHeight="1" x14ac:dyDescent="0.25">
      <c r="A307" s="211" t="s">
        <v>1134</v>
      </c>
      <c r="B307" s="214"/>
      <c r="C307" s="211" t="s">
        <v>724</v>
      </c>
      <c r="D307" s="213">
        <v>40.950000000000003</v>
      </c>
      <c r="E307" s="208">
        <v>0.7</v>
      </c>
      <c r="F307" s="209">
        <f t="shared" si="4"/>
        <v>28.664999999999999</v>
      </c>
      <c r="G307" s="211" t="s">
        <v>767</v>
      </c>
      <c r="H307" s="208"/>
    </row>
    <row r="308" spans="1:8" ht="15.75" customHeight="1" x14ac:dyDescent="0.25">
      <c r="A308" s="212" t="s">
        <v>1136</v>
      </c>
      <c r="B308" s="214"/>
      <c r="C308" s="214"/>
      <c r="D308" s="209">
        <v>45</v>
      </c>
      <c r="E308" s="208">
        <v>1</v>
      </c>
      <c r="F308" s="209">
        <f t="shared" si="4"/>
        <v>45</v>
      </c>
      <c r="G308" s="208"/>
      <c r="H308" s="208"/>
    </row>
    <row r="309" spans="1:8" ht="15.75" customHeight="1" x14ac:dyDescent="0.25">
      <c r="A309" s="212" t="s">
        <v>1137</v>
      </c>
      <c r="B309" s="214"/>
      <c r="C309" s="214"/>
      <c r="D309" s="209">
        <v>39.950000000000003</v>
      </c>
      <c r="E309" s="208"/>
      <c r="F309" s="209">
        <f t="shared" si="4"/>
        <v>0</v>
      </c>
      <c r="G309" s="208"/>
      <c r="H309" s="208"/>
    </row>
    <row r="310" spans="1:8" ht="15.75" customHeight="1" x14ac:dyDescent="0.25">
      <c r="A310" s="212" t="s">
        <v>1138</v>
      </c>
      <c r="B310" s="214"/>
      <c r="C310" s="214"/>
      <c r="D310" s="209">
        <v>45</v>
      </c>
      <c r="E310" s="208"/>
      <c r="F310" s="209">
        <f t="shared" si="4"/>
        <v>0</v>
      </c>
      <c r="G310" s="208"/>
      <c r="H310" s="208"/>
    </row>
    <row r="311" spans="1:8" ht="15.75" customHeight="1" x14ac:dyDescent="0.25">
      <c r="A311" s="212" t="s">
        <v>1139</v>
      </c>
      <c r="B311" s="214"/>
      <c r="C311" s="214"/>
      <c r="D311" s="209">
        <v>29.95</v>
      </c>
      <c r="E311" s="208"/>
      <c r="F311" s="209">
        <f t="shared" si="4"/>
        <v>0</v>
      </c>
      <c r="G311" s="207" t="s">
        <v>778</v>
      </c>
      <c r="H311" s="208"/>
    </row>
    <row r="312" spans="1:8" ht="15.75" customHeight="1" x14ac:dyDescent="0.25">
      <c r="A312" s="212" t="s">
        <v>1140</v>
      </c>
      <c r="B312" s="214"/>
      <c r="C312" s="214"/>
      <c r="D312" s="209">
        <v>29.95</v>
      </c>
      <c r="E312" s="208"/>
      <c r="F312" s="209">
        <f t="shared" si="4"/>
        <v>0</v>
      </c>
      <c r="G312" s="208"/>
      <c r="H312" s="208"/>
    </row>
    <row r="313" spans="1:8" ht="15.75" customHeight="1" x14ac:dyDescent="0.25">
      <c r="A313" s="212" t="s">
        <v>1141</v>
      </c>
      <c r="B313" s="211" t="s">
        <v>893</v>
      </c>
      <c r="C313" s="214">
        <v>500</v>
      </c>
      <c r="D313" s="209">
        <v>24.5</v>
      </c>
      <c r="E313" s="208">
        <v>1</v>
      </c>
      <c r="F313" s="209">
        <f t="shared" si="4"/>
        <v>24.5</v>
      </c>
      <c r="G313" s="211" t="s">
        <v>767</v>
      </c>
      <c r="H313" s="208"/>
    </row>
    <row r="314" spans="1:8" ht="15.75" customHeight="1" x14ac:dyDescent="0.25">
      <c r="A314" s="212" t="s">
        <v>1142</v>
      </c>
      <c r="B314" s="211" t="s">
        <v>893</v>
      </c>
      <c r="C314" s="214">
        <v>50</v>
      </c>
      <c r="D314" s="209">
        <v>4.5</v>
      </c>
      <c r="E314" s="208"/>
      <c r="F314" s="209">
        <f t="shared" si="4"/>
        <v>0</v>
      </c>
      <c r="G314" s="208"/>
      <c r="H314" s="208"/>
    </row>
    <row r="315" spans="1:8" ht="15.75" customHeight="1" x14ac:dyDescent="0.25">
      <c r="A315" s="212" t="s">
        <v>1143</v>
      </c>
      <c r="B315" s="211" t="s">
        <v>893</v>
      </c>
      <c r="C315" s="214"/>
      <c r="D315" s="209">
        <v>54.5</v>
      </c>
      <c r="E315" s="208"/>
      <c r="F315" s="209">
        <f t="shared" si="4"/>
        <v>0</v>
      </c>
      <c r="G315" s="207" t="s">
        <v>1144</v>
      </c>
      <c r="H315" s="208"/>
    </row>
    <row r="316" spans="1:8" ht="15.75" customHeight="1" x14ac:dyDescent="0.25">
      <c r="A316" s="212" t="s">
        <v>1145</v>
      </c>
      <c r="B316" s="211" t="s">
        <v>893</v>
      </c>
      <c r="C316" s="214"/>
      <c r="D316" s="209">
        <v>42.95</v>
      </c>
      <c r="E316" s="208">
        <v>0</v>
      </c>
      <c r="F316" s="209">
        <f t="shared" si="4"/>
        <v>0</v>
      </c>
      <c r="G316" s="207" t="s">
        <v>778</v>
      </c>
      <c r="H316" s="208"/>
    </row>
    <row r="317" spans="1:8" ht="15.75" customHeight="1" x14ac:dyDescent="0.25">
      <c r="A317" s="212" t="s">
        <v>1146</v>
      </c>
      <c r="B317" s="214"/>
      <c r="C317" s="214"/>
      <c r="D317" s="209">
        <v>49.95</v>
      </c>
      <c r="E317" s="208">
        <v>1</v>
      </c>
      <c r="F317" s="209">
        <f t="shared" si="4"/>
        <v>49.95</v>
      </c>
      <c r="G317" s="211" t="s">
        <v>767</v>
      </c>
      <c r="H317" s="208"/>
    </row>
    <row r="318" spans="1:8" ht="15.75" customHeight="1" x14ac:dyDescent="0.25">
      <c r="A318" s="212" t="s">
        <v>1147</v>
      </c>
      <c r="B318" s="211" t="s">
        <v>1148</v>
      </c>
      <c r="C318" s="214"/>
      <c r="D318" s="209">
        <v>35</v>
      </c>
      <c r="E318" s="210"/>
      <c r="F318" s="209">
        <f t="shared" si="4"/>
        <v>0</v>
      </c>
      <c r="G318" s="208"/>
      <c r="H318" s="208"/>
    </row>
    <row r="319" spans="1:8" ht="15.75" customHeight="1" x14ac:dyDescent="0.25">
      <c r="A319" s="212" t="s">
        <v>1149</v>
      </c>
      <c r="B319" s="211" t="s">
        <v>893</v>
      </c>
      <c r="C319" s="214"/>
      <c r="D319" s="209">
        <v>30.95</v>
      </c>
      <c r="E319" s="208"/>
      <c r="F319" s="209">
        <f t="shared" si="4"/>
        <v>0</v>
      </c>
      <c r="G319" s="208"/>
      <c r="H319" s="208"/>
    </row>
    <row r="320" spans="1:8" ht="15.75" customHeight="1" x14ac:dyDescent="0.25">
      <c r="A320" s="212" t="s">
        <v>1150</v>
      </c>
      <c r="B320" s="211" t="s">
        <v>893</v>
      </c>
      <c r="C320" s="214"/>
      <c r="D320" s="209">
        <v>30.95</v>
      </c>
      <c r="E320" s="208"/>
      <c r="F320" s="209">
        <f t="shared" si="4"/>
        <v>0</v>
      </c>
      <c r="G320" s="208"/>
      <c r="H320" s="208"/>
    </row>
    <row r="321" spans="1:8" ht="15.75" customHeight="1" x14ac:dyDescent="0.25">
      <c r="A321" s="212" t="s">
        <v>1151</v>
      </c>
      <c r="B321" s="211" t="s">
        <v>1152</v>
      </c>
      <c r="C321" s="214"/>
      <c r="D321" s="209">
        <v>48.9</v>
      </c>
      <c r="E321" s="208"/>
      <c r="F321" s="209">
        <f t="shared" si="4"/>
        <v>0</v>
      </c>
      <c r="G321" s="208"/>
      <c r="H321" s="208"/>
    </row>
    <row r="322" spans="1:8" ht="15.75" customHeight="1" x14ac:dyDescent="0.25">
      <c r="A322" s="212" t="s">
        <v>1153</v>
      </c>
      <c r="B322" s="214"/>
      <c r="C322" s="214"/>
      <c r="D322" s="209">
        <v>22</v>
      </c>
      <c r="E322" s="208"/>
      <c r="F322" s="209">
        <f t="shared" si="4"/>
        <v>0</v>
      </c>
      <c r="G322" s="208"/>
      <c r="H322" s="208"/>
    </row>
    <row r="323" spans="1:8" ht="15.75" customHeight="1" x14ac:dyDescent="0.25">
      <c r="A323" s="212" t="s">
        <v>1154</v>
      </c>
      <c r="B323" s="214"/>
      <c r="C323" s="214"/>
      <c r="D323" s="209">
        <v>29</v>
      </c>
      <c r="E323" s="208"/>
      <c r="F323" s="209">
        <f t="shared" si="4"/>
        <v>0</v>
      </c>
      <c r="G323" s="208"/>
      <c r="H323" s="208"/>
    </row>
    <row r="324" spans="1:8" ht="15.75" customHeight="1" x14ac:dyDescent="0.25">
      <c r="A324" s="212" t="s">
        <v>1155</v>
      </c>
      <c r="B324" s="214"/>
      <c r="C324" s="214"/>
      <c r="D324" s="209">
        <v>26</v>
      </c>
      <c r="E324" s="208"/>
      <c r="F324" s="209">
        <f t="shared" si="4"/>
        <v>0</v>
      </c>
      <c r="G324" s="208"/>
      <c r="H324" s="208"/>
    </row>
    <row r="325" spans="1:8" ht="15.75" customHeight="1" x14ac:dyDescent="0.25">
      <c r="A325" s="212" t="s">
        <v>1156</v>
      </c>
      <c r="B325" s="211" t="s">
        <v>1152</v>
      </c>
      <c r="C325" s="214"/>
      <c r="D325" s="209">
        <v>16.899999999999999</v>
      </c>
      <c r="E325" s="208"/>
      <c r="F325" s="209">
        <f t="shared" si="4"/>
        <v>0</v>
      </c>
      <c r="G325" s="208"/>
      <c r="H325" s="208"/>
    </row>
    <row r="326" spans="1:8" ht="13.5" customHeight="1" x14ac:dyDescent="0.25">
      <c r="A326" s="212" t="s">
        <v>1157</v>
      </c>
      <c r="B326" s="211" t="s">
        <v>1152</v>
      </c>
      <c r="C326" s="214"/>
      <c r="D326" s="209">
        <v>49.95</v>
      </c>
      <c r="E326" s="208"/>
      <c r="F326" s="209">
        <f t="shared" si="4"/>
        <v>0</v>
      </c>
      <c r="G326" s="208"/>
      <c r="H326" s="208"/>
    </row>
    <row r="327" spans="1:8" ht="15.75" customHeight="1" x14ac:dyDescent="0.25">
      <c r="A327" s="212" t="s">
        <v>1158</v>
      </c>
      <c r="B327" s="211" t="s">
        <v>1152</v>
      </c>
      <c r="C327" s="214"/>
      <c r="D327" s="209">
        <v>22.5</v>
      </c>
      <c r="E327" s="208"/>
      <c r="F327" s="209">
        <f t="shared" si="4"/>
        <v>0</v>
      </c>
      <c r="G327" s="208"/>
      <c r="H327" s="208"/>
    </row>
    <row r="328" spans="1:8" ht="15.75" customHeight="1" x14ac:dyDescent="0.25">
      <c r="A328" s="207" t="s">
        <v>1159</v>
      </c>
      <c r="B328" s="211" t="s">
        <v>1152</v>
      </c>
      <c r="C328" s="214"/>
      <c r="D328" s="209">
        <v>29.9</v>
      </c>
      <c r="E328" s="208"/>
      <c r="F328" s="209">
        <f t="shared" si="4"/>
        <v>0</v>
      </c>
      <c r="G328" s="208"/>
      <c r="H328" s="208"/>
    </row>
    <row r="329" spans="1:8" ht="15.75" customHeight="1" x14ac:dyDescent="0.25">
      <c r="A329" s="212" t="s">
        <v>1160</v>
      </c>
      <c r="B329" s="211" t="s">
        <v>1152</v>
      </c>
      <c r="C329" s="214"/>
      <c r="D329" s="209">
        <v>120</v>
      </c>
      <c r="E329" s="208"/>
      <c r="F329" s="209">
        <f t="shared" si="4"/>
        <v>0</v>
      </c>
      <c r="G329" s="208"/>
      <c r="H329" s="208"/>
    </row>
    <row r="330" spans="1:8" ht="15.75" customHeight="1" x14ac:dyDescent="0.25">
      <c r="A330" s="212" t="s">
        <v>1161</v>
      </c>
      <c r="B330" s="211" t="s">
        <v>1152</v>
      </c>
      <c r="C330" s="214"/>
      <c r="D330" s="209">
        <v>120</v>
      </c>
      <c r="E330" s="208"/>
      <c r="F330" s="209">
        <f t="shared" si="4"/>
        <v>0</v>
      </c>
      <c r="G330" s="208"/>
      <c r="H330" s="208"/>
    </row>
    <row r="331" spans="1:8" ht="15.75" customHeight="1" x14ac:dyDescent="0.25">
      <c r="A331" s="212" t="s">
        <v>877</v>
      </c>
      <c r="B331" s="211" t="s">
        <v>1152</v>
      </c>
      <c r="C331" s="214"/>
      <c r="D331" s="209">
        <v>54.95</v>
      </c>
      <c r="E331" s="208"/>
      <c r="F331" s="209">
        <f t="shared" si="4"/>
        <v>0</v>
      </c>
      <c r="G331" s="208"/>
      <c r="H331" s="208"/>
    </row>
    <row r="332" spans="1:8" ht="15.75" customHeight="1" x14ac:dyDescent="0.25">
      <c r="A332" s="212" t="s">
        <v>1162</v>
      </c>
      <c r="B332" s="214"/>
      <c r="C332" s="214"/>
      <c r="D332" s="209">
        <v>6.9</v>
      </c>
      <c r="E332" s="208"/>
      <c r="F332" s="209">
        <f t="shared" si="4"/>
        <v>0</v>
      </c>
      <c r="G332" s="208"/>
      <c r="H332" s="208"/>
    </row>
    <row r="333" spans="1:8" ht="15.75" customHeight="1" x14ac:dyDescent="0.25">
      <c r="A333" s="212" t="s">
        <v>1163</v>
      </c>
      <c r="B333" s="214"/>
      <c r="C333" s="214"/>
      <c r="D333" s="209">
        <v>75</v>
      </c>
      <c r="E333" s="208"/>
      <c r="F333" s="209">
        <f t="shared" si="4"/>
        <v>0</v>
      </c>
      <c r="G333" s="208"/>
      <c r="H333" s="208"/>
    </row>
    <row r="334" spans="1:8" ht="15.75" customHeight="1" x14ac:dyDescent="0.25">
      <c r="A334" s="212" t="s">
        <v>1164</v>
      </c>
      <c r="B334" s="214"/>
      <c r="C334" s="214"/>
      <c r="D334" s="209">
        <v>40</v>
      </c>
      <c r="E334" s="208"/>
      <c r="F334" s="209">
        <f t="shared" ref="F334:F400" si="5">D334:D334*E334:E334</f>
        <v>0</v>
      </c>
      <c r="G334" s="208"/>
      <c r="H334" s="208"/>
    </row>
    <row r="335" spans="1:8" ht="15.75" customHeight="1" x14ac:dyDescent="0.25">
      <c r="A335" s="212" t="s">
        <v>1165</v>
      </c>
      <c r="B335" s="211" t="s">
        <v>1152</v>
      </c>
      <c r="C335" s="211" t="s">
        <v>1166</v>
      </c>
      <c r="D335" s="209">
        <v>12</v>
      </c>
      <c r="E335" s="208"/>
      <c r="F335" s="209">
        <f t="shared" si="5"/>
        <v>0</v>
      </c>
      <c r="G335" s="208"/>
      <c r="H335" s="208"/>
    </row>
    <row r="336" spans="1:8" ht="15.75" customHeight="1" x14ac:dyDescent="0.25">
      <c r="A336" s="212" t="s">
        <v>1167</v>
      </c>
      <c r="B336" s="211" t="s">
        <v>1152</v>
      </c>
      <c r="C336" s="214"/>
      <c r="D336" s="209">
        <v>40.43</v>
      </c>
      <c r="E336" s="208"/>
      <c r="F336" s="209">
        <f t="shared" si="5"/>
        <v>0</v>
      </c>
      <c r="G336" s="208"/>
      <c r="H336" s="208"/>
    </row>
    <row r="337" spans="1:8" ht="15.75" customHeight="1" x14ac:dyDescent="0.25">
      <c r="A337" s="212" t="s">
        <v>1168</v>
      </c>
      <c r="B337" s="214"/>
      <c r="C337" s="214"/>
      <c r="D337" s="209">
        <v>27</v>
      </c>
      <c r="E337" s="208"/>
      <c r="F337" s="209">
        <f t="shared" si="5"/>
        <v>0</v>
      </c>
      <c r="G337" s="208"/>
      <c r="H337" s="208"/>
    </row>
    <row r="338" spans="1:8" ht="15.75" customHeight="1" x14ac:dyDescent="0.25">
      <c r="A338" s="212" t="s">
        <v>1169</v>
      </c>
      <c r="B338" s="211" t="s">
        <v>1152</v>
      </c>
      <c r="C338" s="214"/>
      <c r="D338" s="209">
        <v>35.9</v>
      </c>
      <c r="E338" s="208"/>
      <c r="F338" s="209">
        <f t="shared" si="5"/>
        <v>0</v>
      </c>
      <c r="G338" s="207"/>
      <c r="H338" s="208"/>
    </row>
    <row r="339" spans="1:8" ht="15.75" customHeight="1" x14ac:dyDescent="0.25">
      <c r="A339" s="212" t="s">
        <v>1170</v>
      </c>
      <c r="B339" s="211" t="s">
        <v>1152</v>
      </c>
      <c r="C339" s="214"/>
      <c r="D339" s="209">
        <v>34.5</v>
      </c>
      <c r="E339" s="208"/>
      <c r="F339" s="209">
        <f t="shared" si="5"/>
        <v>0</v>
      </c>
      <c r="G339" s="208"/>
      <c r="H339" s="208"/>
    </row>
    <row r="340" spans="1:8" ht="15.75" customHeight="1" x14ac:dyDescent="0.25">
      <c r="A340" s="212" t="s">
        <v>1171</v>
      </c>
      <c r="B340" s="211" t="s">
        <v>1172</v>
      </c>
      <c r="C340" s="207" t="s">
        <v>1173</v>
      </c>
      <c r="D340" s="209">
        <v>3</v>
      </c>
      <c r="E340" s="210">
        <v>2</v>
      </c>
      <c r="F340" s="209">
        <f t="shared" si="5"/>
        <v>6</v>
      </c>
      <c r="G340" s="211" t="s">
        <v>767</v>
      </c>
      <c r="H340" s="208"/>
    </row>
    <row r="341" spans="1:8" ht="15.75" customHeight="1" x14ac:dyDescent="0.25">
      <c r="A341" s="212" t="s">
        <v>1174</v>
      </c>
      <c r="B341" s="207" t="s">
        <v>1175</v>
      </c>
      <c r="C341" s="207" t="s">
        <v>1176</v>
      </c>
      <c r="D341" s="209">
        <v>40</v>
      </c>
      <c r="E341" s="210">
        <v>2</v>
      </c>
      <c r="F341" s="209">
        <f t="shared" si="5"/>
        <v>80</v>
      </c>
      <c r="G341" s="208"/>
      <c r="H341" s="208"/>
    </row>
    <row r="342" spans="1:8" ht="15.75" customHeight="1" x14ac:dyDescent="0.25">
      <c r="A342" s="212" t="s">
        <v>1177</v>
      </c>
      <c r="B342" s="211" t="s">
        <v>1172</v>
      </c>
      <c r="C342" s="207" t="s">
        <v>1178</v>
      </c>
      <c r="D342" s="209">
        <v>68</v>
      </c>
      <c r="E342" s="210">
        <v>1.2</v>
      </c>
      <c r="F342" s="209">
        <f>D342:D342*E342:E342</f>
        <v>81.599999999999994</v>
      </c>
      <c r="G342" s="211" t="s">
        <v>767</v>
      </c>
      <c r="H342" s="208"/>
    </row>
    <row r="343" spans="1:8" ht="15.75" customHeight="1" x14ac:dyDescent="0.25">
      <c r="A343" s="212" t="s">
        <v>1179</v>
      </c>
      <c r="B343" s="211"/>
      <c r="C343" s="207" t="s">
        <v>1178</v>
      </c>
      <c r="D343" s="209">
        <v>45.8</v>
      </c>
      <c r="E343" s="210">
        <v>0</v>
      </c>
      <c r="F343" s="209">
        <f>D343:D343*E343:E343</f>
        <v>0</v>
      </c>
      <c r="G343" s="211" t="s">
        <v>778</v>
      </c>
      <c r="H343" s="208"/>
    </row>
    <row r="344" spans="1:8" ht="15.75" customHeight="1" x14ac:dyDescent="0.25">
      <c r="A344" s="212" t="s">
        <v>1180</v>
      </c>
      <c r="B344" s="214"/>
      <c r="C344" s="208"/>
      <c r="D344" s="209">
        <v>38.700000000000003</v>
      </c>
      <c r="E344" s="210">
        <v>3</v>
      </c>
      <c r="F344" s="209">
        <f t="shared" si="5"/>
        <v>116.10000000000001</v>
      </c>
      <c r="G344" s="209" t="s">
        <v>778</v>
      </c>
      <c r="H344" s="208"/>
    </row>
    <row r="345" spans="1:8" ht="15.75" customHeight="1" x14ac:dyDescent="0.25">
      <c r="A345" s="212" t="s">
        <v>1181</v>
      </c>
      <c r="B345" s="214"/>
      <c r="C345" s="208" t="s">
        <v>1182</v>
      </c>
      <c r="D345" s="209">
        <v>3.8</v>
      </c>
      <c r="E345" s="210">
        <v>2</v>
      </c>
      <c r="F345" s="209">
        <f>D345:D345*E345:E345</f>
        <v>7.6</v>
      </c>
      <c r="G345" s="209" t="s">
        <v>778</v>
      </c>
      <c r="H345" s="208"/>
    </row>
    <row r="346" spans="1:8" ht="13.5" customHeight="1" x14ac:dyDescent="0.25">
      <c r="A346" s="212" t="s">
        <v>1183</v>
      </c>
      <c r="B346" s="211" t="s">
        <v>1172</v>
      </c>
      <c r="C346" s="207" t="s">
        <v>1182</v>
      </c>
      <c r="D346" s="209">
        <v>11</v>
      </c>
      <c r="E346" s="210"/>
      <c r="F346" s="209">
        <f t="shared" si="5"/>
        <v>0</v>
      </c>
      <c r="G346" s="208"/>
      <c r="H346" s="208"/>
    </row>
    <row r="347" spans="1:8" ht="13.5" customHeight="1" x14ac:dyDescent="0.25">
      <c r="A347" s="212" t="s">
        <v>1184</v>
      </c>
      <c r="B347" s="214"/>
      <c r="C347" s="208"/>
      <c r="D347" s="209">
        <v>3</v>
      </c>
      <c r="E347" s="210"/>
      <c r="F347" s="209">
        <f t="shared" si="5"/>
        <v>0</v>
      </c>
      <c r="G347" s="208"/>
      <c r="H347" s="208"/>
    </row>
    <row r="348" spans="1:8" ht="13.5" customHeight="1" x14ac:dyDescent="0.25">
      <c r="A348" s="211" t="s">
        <v>1185</v>
      </c>
      <c r="B348" s="211" t="s">
        <v>1172</v>
      </c>
      <c r="C348" s="211" t="s">
        <v>1186</v>
      </c>
      <c r="D348" s="213">
        <v>56</v>
      </c>
      <c r="E348" s="218"/>
      <c r="F348" s="213">
        <f t="shared" si="5"/>
        <v>0</v>
      </c>
      <c r="G348" s="208"/>
      <c r="H348" s="208"/>
    </row>
    <row r="349" spans="1:8" ht="13.5" customHeight="1" x14ac:dyDescent="0.25">
      <c r="A349" s="211" t="s">
        <v>1187</v>
      </c>
      <c r="B349" s="211" t="s">
        <v>1172</v>
      </c>
      <c r="C349" s="211" t="s">
        <v>1188</v>
      </c>
      <c r="D349" s="213">
        <v>37.200000000000003</v>
      </c>
      <c r="E349" s="218"/>
      <c r="F349" s="213">
        <f t="shared" si="5"/>
        <v>0</v>
      </c>
      <c r="G349" s="208"/>
      <c r="H349" s="208"/>
    </row>
    <row r="350" spans="1:8" ht="15.75" customHeight="1" x14ac:dyDescent="0.25">
      <c r="A350" s="211" t="s">
        <v>1189</v>
      </c>
      <c r="B350" s="211" t="s">
        <v>1172</v>
      </c>
      <c r="C350" s="211" t="s">
        <v>1190</v>
      </c>
      <c r="D350" s="213">
        <v>15</v>
      </c>
      <c r="E350" s="218"/>
      <c r="F350" s="213">
        <f t="shared" si="5"/>
        <v>0</v>
      </c>
      <c r="G350" s="208"/>
      <c r="H350" s="208"/>
    </row>
    <row r="351" spans="1:8" ht="15.75" customHeight="1" x14ac:dyDescent="0.25">
      <c r="A351" s="211" t="s">
        <v>1191</v>
      </c>
      <c r="B351" s="211" t="s">
        <v>1172</v>
      </c>
      <c r="C351" s="211" t="s">
        <v>1192</v>
      </c>
      <c r="D351" s="213">
        <v>28.1</v>
      </c>
      <c r="E351" s="218">
        <v>11</v>
      </c>
      <c r="F351" s="213">
        <f t="shared" si="5"/>
        <v>309.10000000000002</v>
      </c>
      <c r="G351" s="211" t="s">
        <v>778</v>
      </c>
      <c r="H351" s="208"/>
    </row>
    <row r="352" spans="1:8" ht="15.75" customHeight="1" x14ac:dyDescent="0.25">
      <c r="A352" s="212" t="s">
        <v>1193</v>
      </c>
      <c r="B352" s="214"/>
      <c r="C352" s="211" t="s">
        <v>1182</v>
      </c>
      <c r="D352" s="213">
        <v>26</v>
      </c>
      <c r="E352" s="218"/>
      <c r="F352" s="213">
        <f t="shared" si="5"/>
        <v>0</v>
      </c>
      <c r="G352" s="208"/>
      <c r="H352" s="208"/>
    </row>
    <row r="353" spans="1:8" ht="15.75" customHeight="1" x14ac:dyDescent="0.25">
      <c r="A353" s="212" t="s">
        <v>1194</v>
      </c>
      <c r="B353" s="214"/>
      <c r="C353" s="211" t="s">
        <v>1195</v>
      </c>
      <c r="D353" s="213">
        <v>47.1</v>
      </c>
      <c r="E353" s="218">
        <v>1</v>
      </c>
      <c r="F353" s="213">
        <f t="shared" si="5"/>
        <v>47.1</v>
      </c>
      <c r="G353" s="211" t="s">
        <v>767</v>
      </c>
      <c r="H353" s="208" t="s">
        <v>1196</v>
      </c>
    </row>
    <row r="354" spans="1:8" ht="13.5" customHeight="1" x14ac:dyDescent="0.25">
      <c r="A354" s="212" t="s">
        <v>1197</v>
      </c>
      <c r="B354" s="214"/>
      <c r="C354" s="211" t="s">
        <v>1188</v>
      </c>
      <c r="D354" s="213">
        <v>50</v>
      </c>
      <c r="E354" s="218"/>
      <c r="F354" s="213">
        <f t="shared" si="5"/>
        <v>0</v>
      </c>
      <c r="G354" s="208"/>
      <c r="H354" s="208"/>
    </row>
    <row r="355" spans="1:8" ht="13.5" customHeight="1" x14ac:dyDescent="0.25">
      <c r="A355" s="212" t="s">
        <v>1197</v>
      </c>
      <c r="B355" s="214"/>
      <c r="C355" s="211" t="s">
        <v>1182</v>
      </c>
      <c r="D355" s="213">
        <v>3.3</v>
      </c>
      <c r="E355" s="218"/>
      <c r="F355" s="213">
        <f t="shared" si="5"/>
        <v>0</v>
      </c>
      <c r="G355" s="208"/>
      <c r="H355" s="208"/>
    </row>
    <row r="356" spans="1:8" ht="13.5" customHeight="1" x14ac:dyDescent="0.25">
      <c r="A356" s="211" t="s">
        <v>1198</v>
      </c>
      <c r="B356" s="211" t="s">
        <v>1172</v>
      </c>
      <c r="C356" s="211" t="s">
        <v>1190</v>
      </c>
      <c r="D356" s="213">
        <v>8</v>
      </c>
      <c r="E356" s="218"/>
      <c r="F356" s="213">
        <f t="shared" si="5"/>
        <v>0</v>
      </c>
      <c r="G356" s="208"/>
      <c r="H356" s="208"/>
    </row>
    <row r="357" spans="1:8" ht="15.75" customHeight="1" x14ac:dyDescent="0.25">
      <c r="A357" s="211" t="s">
        <v>1199</v>
      </c>
      <c r="B357" s="211" t="s">
        <v>1172</v>
      </c>
      <c r="C357" s="211" t="s">
        <v>1200</v>
      </c>
      <c r="D357" s="213">
        <v>3.3</v>
      </c>
      <c r="E357" s="218"/>
      <c r="F357" s="213">
        <f t="shared" si="5"/>
        <v>0</v>
      </c>
      <c r="G357" s="208"/>
      <c r="H357" s="208"/>
    </row>
    <row r="358" spans="1:8" ht="13.5" customHeight="1" x14ac:dyDescent="0.25">
      <c r="A358" s="211" t="s">
        <v>1201</v>
      </c>
      <c r="B358" s="211" t="s">
        <v>1172</v>
      </c>
      <c r="C358" s="211" t="s">
        <v>1200</v>
      </c>
      <c r="D358" s="213"/>
      <c r="E358" s="218"/>
      <c r="F358" s="213">
        <f t="shared" si="5"/>
        <v>0</v>
      </c>
      <c r="G358" s="208"/>
      <c r="H358" s="208"/>
    </row>
    <row r="359" spans="1:8" ht="15.75" customHeight="1" x14ac:dyDescent="0.25">
      <c r="A359" s="212" t="s">
        <v>1202</v>
      </c>
      <c r="B359" s="214"/>
      <c r="C359" s="214" t="s">
        <v>1203</v>
      </c>
      <c r="D359" s="213">
        <v>3.5</v>
      </c>
      <c r="E359" s="218">
        <v>0</v>
      </c>
      <c r="F359" s="213">
        <f t="shared" si="5"/>
        <v>0</v>
      </c>
      <c r="G359" s="207" t="s">
        <v>778</v>
      </c>
      <c r="H359" s="208"/>
    </row>
    <row r="360" spans="1:8" ht="13.5" customHeight="1" x14ac:dyDescent="0.25">
      <c r="A360" s="211" t="s">
        <v>1204</v>
      </c>
      <c r="B360" s="211" t="s">
        <v>1172</v>
      </c>
      <c r="C360" s="211" t="s">
        <v>958</v>
      </c>
      <c r="D360" s="213">
        <v>5</v>
      </c>
      <c r="E360" s="218"/>
      <c r="F360" s="213">
        <f t="shared" si="5"/>
        <v>0</v>
      </c>
      <c r="G360" s="208"/>
      <c r="H360" s="208"/>
    </row>
    <row r="361" spans="1:8" ht="13.5" customHeight="1" x14ac:dyDescent="0.25">
      <c r="A361" s="212" t="s">
        <v>1205</v>
      </c>
      <c r="B361" s="214"/>
      <c r="C361" s="214"/>
      <c r="D361" s="213">
        <v>2.5</v>
      </c>
      <c r="E361" s="218">
        <v>1</v>
      </c>
      <c r="F361" s="213">
        <f t="shared" si="5"/>
        <v>2.5</v>
      </c>
      <c r="G361" s="211" t="s">
        <v>767</v>
      </c>
      <c r="H361" s="208"/>
    </row>
    <row r="362" spans="1:8" ht="15.75" customHeight="1" x14ac:dyDescent="0.25">
      <c r="A362" s="211" t="s">
        <v>1206</v>
      </c>
      <c r="B362" s="211" t="s">
        <v>1172</v>
      </c>
      <c r="C362" s="211" t="s">
        <v>1207</v>
      </c>
      <c r="D362" s="213">
        <v>16</v>
      </c>
      <c r="E362" s="218"/>
      <c r="F362" s="213">
        <f t="shared" si="5"/>
        <v>0</v>
      </c>
      <c r="G362" s="207" t="s">
        <v>778</v>
      </c>
      <c r="H362" s="208"/>
    </row>
    <row r="363" spans="1:8" ht="15.75" customHeight="1" x14ac:dyDescent="0.25">
      <c r="A363" s="211" t="s">
        <v>1208</v>
      </c>
      <c r="B363" s="211" t="s">
        <v>1172</v>
      </c>
      <c r="C363" s="211" t="s">
        <v>1190</v>
      </c>
      <c r="D363" s="213">
        <v>18</v>
      </c>
      <c r="E363" s="218"/>
      <c r="F363" s="213">
        <f t="shared" si="5"/>
        <v>0</v>
      </c>
      <c r="G363" s="208"/>
      <c r="H363" s="208"/>
    </row>
    <row r="364" spans="1:8" ht="15.75" customHeight="1" x14ac:dyDescent="0.25">
      <c r="A364" s="212" t="s">
        <v>1209</v>
      </c>
      <c r="B364" s="214"/>
      <c r="C364" s="214"/>
      <c r="D364" s="213">
        <v>18.3</v>
      </c>
      <c r="E364" s="218">
        <v>0.51700000000000002</v>
      </c>
      <c r="F364" s="213">
        <f t="shared" si="5"/>
        <v>9.4611000000000001</v>
      </c>
      <c r="G364" s="211" t="s">
        <v>778</v>
      </c>
      <c r="H364" s="208"/>
    </row>
    <row r="365" spans="1:8" ht="15.75" customHeight="1" x14ac:dyDescent="0.25">
      <c r="A365" s="212" t="s">
        <v>1210</v>
      </c>
      <c r="B365" s="214"/>
      <c r="C365" s="211" t="s">
        <v>1182</v>
      </c>
      <c r="D365" s="213">
        <v>15</v>
      </c>
      <c r="E365" s="218"/>
      <c r="F365" s="213">
        <f t="shared" si="5"/>
        <v>0</v>
      </c>
      <c r="G365" s="214" t="s">
        <v>778</v>
      </c>
      <c r="H365" s="208"/>
    </row>
    <row r="366" spans="1:8" ht="15.75" customHeight="1" x14ac:dyDescent="0.25">
      <c r="A366" s="212" t="s">
        <v>1211</v>
      </c>
      <c r="B366" s="214"/>
      <c r="C366" s="214"/>
      <c r="D366" s="213">
        <v>3.5</v>
      </c>
      <c r="E366" s="218">
        <v>0</v>
      </c>
      <c r="F366" s="213">
        <f t="shared" si="5"/>
        <v>0</v>
      </c>
      <c r="G366" s="211" t="s">
        <v>778</v>
      </c>
      <c r="H366" s="208"/>
    </row>
    <row r="367" spans="1:8" ht="15.75" customHeight="1" x14ac:dyDescent="0.25">
      <c r="A367" s="212" t="s">
        <v>1212</v>
      </c>
      <c r="B367" s="214"/>
      <c r="C367" s="211" t="s">
        <v>1190</v>
      </c>
      <c r="D367" s="213">
        <v>15</v>
      </c>
      <c r="E367" s="218">
        <v>0</v>
      </c>
      <c r="F367" s="213">
        <f t="shared" si="5"/>
        <v>0</v>
      </c>
      <c r="G367" s="208" t="s">
        <v>778</v>
      </c>
      <c r="H367" s="208"/>
    </row>
    <row r="368" spans="1:8" ht="15.75" customHeight="1" x14ac:dyDescent="0.25">
      <c r="A368" s="212" t="s">
        <v>1213</v>
      </c>
      <c r="B368" s="214"/>
      <c r="C368" s="211" t="s">
        <v>699</v>
      </c>
      <c r="D368" s="213">
        <v>18</v>
      </c>
      <c r="E368" s="218">
        <v>0</v>
      </c>
      <c r="F368" s="213">
        <f t="shared" si="5"/>
        <v>0</v>
      </c>
      <c r="G368" s="207" t="s">
        <v>778</v>
      </c>
      <c r="H368" s="208"/>
    </row>
    <row r="369" spans="1:8" ht="13.5" customHeight="1" x14ac:dyDescent="0.25">
      <c r="A369" s="212" t="s">
        <v>1214</v>
      </c>
      <c r="B369" s="214"/>
      <c r="C369" s="214"/>
      <c r="D369" s="213">
        <v>18</v>
      </c>
      <c r="E369" s="218"/>
      <c r="F369" s="213">
        <f t="shared" si="5"/>
        <v>0</v>
      </c>
      <c r="G369" s="208" t="s">
        <v>778</v>
      </c>
      <c r="H369" s="208"/>
    </row>
    <row r="370" spans="1:8" ht="15.75" customHeight="1" x14ac:dyDescent="0.25">
      <c r="A370" s="212" t="s">
        <v>1215</v>
      </c>
      <c r="B370" s="214"/>
      <c r="C370" s="211" t="s">
        <v>1216</v>
      </c>
      <c r="D370" s="213">
        <v>38</v>
      </c>
      <c r="E370" s="218">
        <v>1</v>
      </c>
      <c r="F370" s="213">
        <f t="shared" si="5"/>
        <v>38</v>
      </c>
      <c r="G370" s="211" t="s">
        <v>767</v>
      </c>
      <c r="H370" s="208"/>
    </row>
    <row r="371" spans="1:8" ht="15.75" customHeight="1" x14ac:dyDescent="0.25">
      <c r="A371" s="211" t="s">
        <v>1217</v>
      </c>
      <c r="B371" s="211" t="s">
        <v>1172</v>
      </c>
      <c r="C371" s="211" t="s">
        <v>1218</v>
      </c>
      <c r="D371" s="213">
        <v>3</v>
      </c>
      <c r="E371" s="218"/>
      <c r="F371" s="213">
        <f t="shared" si="5"/>
        <v>0</v>
      </c>
      <c r="G371" s="208"/>
      <c r="H371" s="208"/>
    </row>
    <row r="372" spans="1:8" ht="15.75" customHeight="1" x14ac:dyDescent="0.25">
      <c r="A372" s="212" t="s">
        <v>1219</v>
      </c>
      <c r="B372" s="214"/>
      <c r="C372" s="211" t="s">
        <v>1220</v>
      </c>
      <c r="D372" s="213">
        <v>7.9</v>
      </c>
      <c r="E372" s="218"/>
      <c r="F372" s="213">
        <f t="shared" si="5"/>
        <v>0</v>
      </c>
      <c r="G372" s="208"/>
      <c r="H372" s="208"/>
    </row>
    <row r="373" spans="1:8" ht="13.5" customHeight="1" x14ac:dyDescent="0.25">
      <c r="A373" s="212" t="s">
        <v>1221</v>
      </c>
      <c r="B373" s="214"/>
      <c r="C373" s="214"/>
      <c r="D373" s="213">
        <v>5.3</v>
      </c>
      <c r="E373" s="218"/>
      <c r="F373" s="213">
        <f t="shared" si="5"/>
        <v>0</v>
      </c>
      <c r="G373" s="208"/>
      <c r="H373" s="208"/>
    </row>
    <row r="374" spans="1:8" ht="13.5" customHeight="1" x14ac:dyDescent="0.25">
      <c r="A374" s="212" t="s">
        <v>1222</v>
      </c>
      <c r="B374" s="214"/>
      <c r="C374" s="211" t="s">
        <v>1195</v>
      </c>
      <c r="D374" s="213">
        <v>30</v>
      </c>
      <c r="E374" s="218"/>
      <c r="F374" s="213">
        <f t="shared" si="5"/>
        <v>0</v>
      </c>
      <c r="G374" s="208"/>
      <c r="H374" s="208"/>
    </row>
    <row r="375" spans="1:8" ht="13.5" customHeight="1" x14ac:dyDescent="0.25">
      <c r="A375" s="211" t="s">
        <v>1223</v>
      </c>
      <c r="B375" s="211" t="s">
        <v>1172</v>
      </c>
      <c r="C375" s="211" t="s">
        <v>1224</v>
      </c>
      <c r="D375" s="213">
        <v>2.8</v>
      </c>
      <c r="E375" s="218"/>
      <c r="F375" s="213">
        <f t="shared" si="5"/>
        <v>0</v>
      </c>
      <c r="G375" s="207" t="s">
        <v>778</v>
      </c>
      <c r="H375" s="208"/>
    </row>
    <row r="376" spans="1:8" ht="13.5" customHeight="1" x14ac:dyDescent="0.25">
      <c r="A376" s="211" t="s">
        <v>1225</v>
      </c>
      <c r="B376" s="211" t="s">
        <v>1172</v>
      </c>
      <c r="C376" s="211" t="s">
        <v>1218</v>
      </c>
      <c r="D376" s="213">
        <v>7.5</v>
      </c>
      <c r="E376" s="218"/>
      <c r="F376" s="213">
        <f t="shared" si="5"/>
        <v>0</v>
      </c>
      <c r="G376" s="207" t="s">
        <v>778</v>
      </c>
      <c r="H376" s="208"/>
    </row>
    <row r="377" spans="1:8" ht="15.75" customHeight="1" x14ac:dyDescent="0.25">
      <c r="A377" s="211" t="s">
        <v>1226</v>
      </c>
      <c r="B377" s="211" t="s">
        <v>1172</v>
      </c>
      <c r="C377" s="211" t="s">
        <v>1188</v>
      </c>
      <c r="D377" s="213">
        <v>45</v>
      </c>
      <c r="E377" s="218">
        <v>0.5</v>
      </c>
      <c r="F377" s="213">
        <f t="shared" si="5"/>
        <v>22.5</v>
      </c>
      <c r="G377" s="211" t="s">
        <v>767</v>
      </c>
      <c r="H377" s="208"/>
    </row>
    <row r="378" spans="1:8" ht="13.5" customHeight="1" x14ac:dyDescent="0.25">
      <c r="A378" s="211" t="s">
        <v>1227</v>
      </c>
      <c r="B378" s="211" t="s">
        <v>1172</v>
      </c>
      <c r="C378" s="211" t="s">
        <v>1228</v>
      </c>
      <c r="D378" s="213">
        <v>44.5</v>
      </c>
      <c r="E378" s="218">
        <v>0.1</v>
      </c>
      <c r="F378" s="213">
        <f t="shared" si="5"/>
        <v>4.45</v>
      </c>
      <c r="G378" s="211" t="s">
        <v>767</v>
      </c>
      <c r="H378" s="208"/>
    </row>
    <row r="379" spans="1:8" ht="15.75" customHeight="1" x14ac:dyDescent="0.25">
      <c r="A379" s="212" t="s">
        <v>1229</v>
      </c>
      <c r="B379" s="214"/>
      <c r="C379" s="211" t="s">
        <v>1182</v>
      </c>
      <c r="D379" s="213">
        <v>9</v>
      </c>
      <c r="E379" s="218">
        <v>0</v>
      </c>
      <c r="F379" s="213">
        <f t="shared" si="5"/>
        <v>0</v>
      </c>
      <c r="G379" s="211" t="s">
        <v>778</v>
      </c>
      <c r="H379" s="208"/>
    </row>
    <row r="380" spans="1:8" ht="15.75" customHeight="1" x14ac:dyDescent="0.25">
      <c r="A380" s="211" t="s">
        <v>1230</v>
      </c>
      <c r="B380" s="211" t="s">
        <v>1172</v>
      </c>
      <c r="C380" s="211" t="s">
        <v>1218</v>
      </c>
      <c r="D380" s="213">
        <v>11.9</v>
      </c>
      <c r="E380" s="218">
        <v>3</v>
      </c>
      <c r="F380" s="213">
        <f t="shared" si="5"/>
        <v>35.700000000000003</v>
      </c>
      <c r="G380" s="211" t="s">
        <v>778</v>
      </c>
      <c r="H380" s="208"/>
    </row>
    <row r="381" spans="1:8" ht="15.75" customHeight="1" x14ac:dyDescent="0.25">
      <c r="A381" s="212" t="s">
        <v>1231</v>
      </c>
      <c r="B381" s="214"/>
      <c r="C381" s="214"/>
      <c r="D381" s="213">
        <v>8.5</v>
      </c>
      <c r="E381" s="218">
        <v>1</v>
      </c>
      <c r="F381" s="213">
        <f t="shared" si="5"/>
        <v>8.5</v>
      </c>
      <c r="G381" s="211" t="s">
        <v>767</v>
      </c>
      <c r="H381" s="208"/>
    </row>
    <row r="382" spans="1:8" ht="15.75" customHeight="1" x14ac:dyDescent="0.25">
      <c r="A382" s="212" t="s">
        <v>1232</v>
      </c>
      <c r="B382" s="214"/>
      <c r="C382" s="214"/>
      <c r="D382" s="213">
        <v>3.3</v>
      </c>
      <c r="E382" s="218">
        <v>0</v>
      </c>
      <c r="F382" s="213">
        <f t="shared" si="5"/>
        <v>0</v>
      </c>
      <c r="G382" s="211" t="s">
        <v>778</v>
      </c>
      <c r="H382" s="208"/>
    </row>
    <row r="383" spans="1:8" ht="15.75" customHeight="1" x14ac:dyDescent="0.25">
      <c r="A383" s="212" t="s">
        <v>1233</v>
      </c>
      <c r="B383" s="214"/>
      <c r="C383" s="211" t="s">
        <v>1182</v>
      </c>
      <c r="D383" s="213">
        <v>12</v>
      </c>
      <c r="E383" s="218">
        <v>0</v>
      </c>
      <c r="F383" s="213">
        <f t="shared" si="5"/>
        <v>0</v>
      </c>
      <c r="G383" s="208" t="s">
        <v>778</v>
      </c>
      <c r="H383" s="208"/>
    </row>
    <row r="384" spans="1:8" ht="15.75" customHeight="1" x14ac:dyDescent="0.25">
      <c r="A384" s="212" t="s">
        <v>1234</v>
      </c>
      <c r="B384" s="214"/>
      <c r="C384" s="214"/>
      <c r="D384" s="213">
        <v>14.5</v>
      </c>
      <c r="E384" s="218"/>
      <c r="F384" s="213">
        <f t="shared" si="5"/>
        <v>0</v>
      </c>
      <c r="G384" s="208"/>
      <c r="H384" s="208"/>
    </row>
    <row r="385" spans="1:8" ht="15.75" customHeight="1" x14ac:dyDescent="0.25">
      <c r="A385" s="212" t="s">
        <v>1235</v>
      </c>
      <c r="B385" s="214"/>
      <c r="C385" s="214" t="s">
        <v>1236</v>
      </c>
      <c r="D385" s="213">
        <v>22</v>
      </c>
      <c r="E385" s="218">
        <v>0</v>
      </c>
      <c r="F385" s="213">
        <f>D385:D385*E385:E385</f>
        <v>0</v>
      </c>
      <c r="G385" s="208" t="s">
        <v>778</v>
      </c>
      <c r="H385" s="208"/>
    </row>
    <row r="386" spans="1:8" ht="15.75" customHeight="1" x14ac:dyDescent="0.25">
      <c r="A386" s="212" t="s">
        <v>1237</v>
      </c>
      <c r="B386" s="214"/>
      <c r="C386" s="211" t="s">
        <v>1238</v>
      </c>
      <c r="D386" s="213">
        <v>60</v>
      </c>
      <c r="E386" s="218"/>
      <c r="F386" s="213">
        <f t="shared" si="5"/>
        <v>0</v>
      </c>
      <c r="G386" s="207" t="s">
        <v>778</v>
      </c>
      <c r="H386" s="208"/>
    </row>
    <row r="387" spans="1:8" ht="15.75" customHeight="1" x14ac:dyDescent="0.25">
      <c r="A387" s="212" t="s">
        <v>1239</v>
      </c>
      <c r="B387" s="214"/>
      <c r="C387" s="214"/>
      <c r="D387" s="213">
        <v>26</v>
      </c>
      <c r="E387" s="218"/>
      <c r="F387" s="213">
        <f t="shared" si="5"/>
        <v>0</v>
      </c>
      <c r="G387" s="207" t="s">
        <v>778</v>
      </c>
      <c r="H387" s="208"/>
    </row>
    <row r="388" spans="1:8" ht="15.75" customHeight="1" x14ac:dyDescent="0.25">
      <c r="A388" s="212" t="s">
        <v>1240</v>
      </c>
      <c r="B388" s="214"/>
      <c r="C388" s="214"/>
      <c r="D388" s="213">
        <v>19</v>
      </c>
      <c r="E388" s="218">
        <v>0</v>
      </c>
      <c r="F388" s="213">
        <f t="shared" si="5"/>
        <v>0</v>
      </c>
      <c r="G388" s="211" t="s">
        <v>767</v>
      </c>
      <c r="H388" s="208"/>
    </row>
    <row r="389" spans="1:8" ht="15.75" customHeight="1" x14ac:dyDescent="0.25">
      <c r="A389" s="212" t="s">
        <v>1241</v>
      </c>
      <c r="B389" s="214"/>
      <c r="C389" s="214"/>
      <c r="D389" s="213">
        <v>34.5</v>
      </c>
      <c r="E389" s="218">
        <v>0.43</v>
      </c>
      <c r="F389" s="213">
        <f t="shared" si="5"/>
        <v>14.834999999999999</v>
      </c>
      <c r="G389" s="211" t="s">
        <v>767</v>
      </c>
      <c r="H389" s="208"/>
    </row>
    <row r="390" spans="1:8" ht="13.5" customHeight="1" x14ac:dyDescent="0.25">
      <c r="A390" s="212" t="s">
        <v>1242</v>
      </c>
      <c r="B390" s="214"/>
      <c r="C390" s="214"/>
      <c r="D390" s="213">
        <v>10.9</v>
      </c>
      <c r="E390" s="218"/>
      <c r="F390" s="213">
        <f t="shared" si="5"/>
        <v>0</v>
      </c>
      <c r="G390" s="211" t="s">
        <v>767</v>
      </c>
      <c r="H390" s="208"/>
    </row>
    <row r="391" spans="1:8" ht="15.75" customHeight="1" x14ac:dyDescent="0.25">
      <c r="A391" s="212" t="s">
        <v>1243</v>
      </c>
      <c r="B391" s="214"/>
      <c r="C391" s="214"/>
      <c r="D391" s="213">
        <v>5</v>
      </c>
      <c r="E391" s="218"/>
      <c r="F391" s="213">
        <f t="shared" si="5"/>
        <v>0</v>
      </c>
      <c r="G391" s="208"/>
      <c r="H391" s="208"/>
    </row>
    <row r="392" spans="1:8" ht="13.5" customHeight="1" x14ac:dyDescent="0.25">
      <c r="A392" s="211" t="s">
        <v>1244</v>
      </c>
      <c r="B392" s="211" t="s">
        <v>1172</v>
      </c>
      <c r="C392" s="211" t="s">
        <v>1190</v>
      </c>
      <c r="D392" s="213">
        <v>18</v>
      </c>
      <c r="E392" s="218"/>
      <c r="F392" s="213">
        <f t="shared" si="5"/>
        <v>0</v>
      </c>
      <c r="G392" s="208"/>
      <c r="H392" s="208"/>
    </row>
    <row r="393" spans="1:8" ht="15.75" customHeight="1" x14ac:dyDescent="0.25">
      <c r="A393" s="212" t="s">
        <v>1245</v>
      </c>
      <c r="B393" s="214"/>
      <c r="C393" s="214"/>
      <c r="D393" s="213">
        <v>12</v>
      </c>
      <c r="E393" s="218"/>
      <c r="F393" s="213">
        <f t="shared" si="5"/>
        <v>0</v>
      </c>
      <c r="G393" s="208"/>
      <c r="H393" s="208"/>
    </row>
    <row r="394" spans="1:8" ht="15.75" customHeight="1" x14ac:dyDescent="0.25">
      <c r="A394" s="211" t="s">
        <v>1246</v>
      </c>
      <c r="B394" s="211" t="s">
        <v>1172</v>
      </c>
      <c r="C394" s="211" t="s">
        <v>1190</v>
      </c>
      <c r="D394" s="213">
        <v>12</v>
      </c>
      <c r="E394" s="218"/>
      <c r="F394" s="213">
        <f t="shared" si="5"/>
        <v>0</v>
      </c>
      <c r="G394" s="208"/>
      <c r="H394" s="208"/>
    </row>
    <row r="395" spans="1:8" ht="15.75" customHeight="1" x14ac:dyDescent="0.25">
      <c r="A395" s="212" t="s">
        <v>1247</v>
      </c>
      <c r="B395" s="214"/>
      <c r="C395" s="214"/>
      <c r="D395" s="213">
        <v>15</v>
      </c>
      <c r="E395" s="218"/>
      <c r="F395" s="213">
        <f t="shared" si="5"/>
        <v>0</v>
      </c>
      <c r="G395" s="207" t="s">
        <v>778</v>
      </c>
      <c r="H395" s="208"/>
    </row>
    <row r="396" spans="1:8" ht="15.75" customHeight="1" x14ac:dyDescent="0.25">
      <c r="A396" s="212" t="s">
        <v>1248</v>
      </c>
      <c r="B396" s="211" t="s">
        <v>1172</v>
      </c>
      <c r="C396" s="211" t="s">
        <v>1190</v>
      </c>
      <c r="D396" s="213">
        <v>10</v>
      </c>
      <c r="E396" s="218"/>
      <c r="F396" s="213">
        <f t="shared" si="5"/>
        <v>0</v>
      </c>
      <c r="G396" s="207" t="s">
        <v>778</v>
      </c>
      <c r="H396" s="208"/>
    </row>
    <row r="397" spans="1:8" ht="15.75" customHeight="1" x14ac:dyDescent="0.25">
      <c r="A397" s="212" t="s">
        <v>1249</v>
      </c>
      <c r="B397" s="214"/>
      <c r="C397" s="211" t="s">
        <v>1182</v>
      </c>
      <c r="D397" s="213">
        <v>2.2000000000000002</v>
      </c>
      <c r="E397" s="218">
        <v>23</v>
      </c>
      <c r="F397" s="213">
        <f t="shared" si="5"/>
        <v>50.6</v>
      </c>
      <c r="G397" s="211" t="s">
        <v>767</v>
      </c>
      <c r="H397" s="208"/>
    </row>
    <row r="398" spans="1:8" ht="15.75" customHeight="1" x14ac:dyDescent="0.25">
      <c r="A398" s="212" t="s">
        <v>1250</v>
      </c>
      <c r="B398" s="214"/>
      <c r="C398" s="211" t="s">
        <v>958</v>
      </c>
      <c r="D398" s="213">
        <v>6.3</v>
      </c>
      <c r="E398" s="218">
        <v>3</v>
      </c>
      <c r="F398" s="213">
        <f t="shared" si="5"/>
        <v>18.899999999999999</v>
      </c>
      <c r="G398" s="211" t="s">
        <v>767</v>
      </c>
      <c r="H398" s="208"/>
    </row>
    <row r="399" spans="1:8" ht="15.75" customHeight="1" x14ac:dyDescent="0.25">
      <c r="A399" s="212" t="s">
        <v>1251</v>
      </c>
      <c r="B399" s="214"/>
      <c r="C399" s="214"/>
      <c r="D399" s="213">
        <v>26.4</v>
      </c>
      <c r="E399" s="218">
        <v>0</v>
      </c>
      <c r="F399" s="213">
        <f t="shared" si="5"/>
        <v>0</v>
      </c>
      <c r="G399" s="208" t="s">
        <v>778</v>
      </c>
      <c r="H399" s="208"/>
    </row>
    <row r="400" spans="1:8" ht="13.5" customHeight="1" x14ac:dyDescent="0.25">
      <c r="A400" s="212" t="s">
        <v>1252</v>
      </c>
      <c r="B400" s="214"/>
      <c r="C400" s="214"/>
      <c r="D400" s="213">
        <v>3.3</v>
      </c>
      <c r="E400" s="218"/>
      <c r="F400" s="213">
        <f t="shared" si="5"/>
        <v>0</v>
      </c>
      <c r="G400" s="208" t="s">
        <v>767</v>
      </c>
      <c r="H400" s="208"/>
    </row>
    <row r="401" spans="1:8" ht="13.5" customHeight="1" x14ac:dyDescent="0.25">
      <c r="A401" s="212" t="s">
        <v>1253</v>
      </c>
      <c r="B401" s="214"/>
      <c r="C401" s="214"/>
      <c r="D401" s="213">
        <v>4.2</v>
      </c>
      <c r="E401" s="218"/>
      <c r="F401" s="213">
        <f t="shared" ref="F401:F466" si="6">D401:D401*E401:E401</f>
        <v>0</v>
      </c>
      <c r="G401" s="207" t="s">
        <v>767</v>
      </c>
      <c r="H401" s="208"/>
    </row>
    <row r="402" spans="1:8" ht="15.75" customHeight="1" x14ac:dyDescent="0.25">
      <c r="A402" s="211" t="s">
        <v>1254</v>
      </c>
      <c r="B402" s="211" t="s">
        <v>1172</v>
      </c>
      <c r="C402" s="211" t="s">
        <v>1255</v>
      </c>
      <c r="D402" s="213">
        <v>4.2</v>
      </c>
      <c r="E402" s="218">
        <v>0</v>
      </c>
      <c r="F402" s="213">
        <f t="shared" si="6"/>
        <v>0</v>
      </c>
      <c r="G402" s="211" t="s">
        <v>778</v>
      </c>
      <c r="H402" s="208"/>
    </row>
    <row r="403" spans="1:8" ht="13.5" customHeight="1" x14ac:dyDescent="0.25">
      <c r="A403" s="211" t="s">
        <v>1256</v>
      </c>
      <c r="B403" s="211" t="s">
        <v>1172</v>
      </c>
      <c r="C403" s="211" t="s">
        <v>958</v>
      </c>
      <c r="D403" s="213">
        <v>4.4000000000000004</v>
      </c>
      <c r="E403" s="218">
        <v>3</v>
      </c>
      <c r="F403" s="213">
        <f t="shared" si="6"/>
        <v>13.200000000000001</v>
      </c>
      <c r="G403" s="211" t="s">
        <v>767</v>
      </c>
      <c r="H403" s="208"/>
    </row>
    <row r="404" spans="1:8" ht="13.5" customHeight="1" x14ac:dyDescent="0.25">
      <c r="A404" s="212" t="s">
        <v>1257</v>
      </c>
      <c r="B404" s="214"/>
      <c r="C404" s="211" t="s">
        <v>1182</v>
      </c>
      <c r="D404" s="213">
        <v>8.1999999999999993</v>
      </c>
      <c r="E404" s="218">
        <v>1</v>
      </c>
      <c r="F404" s="213">
        <f t="shared" si="6"/>
        <v>8.1999999999999993</v>
      </c>
      <c r="G404" s="208" t="s">
        <v>767</v>
      </c>
      <c r="H404" s="208"/>
    </row>
    <row r="405" spans="1:8" ht="15.75" customHeight="1" x14ac:dyDescent="0.25">
      <c r="A405" s="211" t="s">
        <v>1258</v>
      </c>
      <c r="B405" s="211" t="s">
        <v>1172</v>
      </c>
      <c r="C405" s="211" t="s">
        <v>1218</v>
      </c>
      <c r="D405" s="213"/>
      <c r="E405" s="218"/>
      <c r="F405" s="213">
        <f t="shared" si="6"/>
        <v>0</v>
      </c>
      <c r="G405" s="207" t="s">
        <v>778</v>
      </c>
      <c r="H405" s="208"/>
    </row>
    <row r="406" spans="1:8" ht="13.5" customHeight="1" x14ac:dyDescent="0.25">
      <c r="A406" s="211" t="s">
        <v>1259</v>
      </c>
      <c r="B406" s="211" t="s">
        <v>1172</v>
      </c>
      <c r="C406" s="211" t="s">
        <v>939</v>
      </c>
      <c r="D406" s="213">
        <v>3.9</v>
      </c>
      <c r="E406" s="218"/>
      <c r="F406" s="213">
        <f t="shared" si="6"/>
        <v>0</v>
      </c>
      <c r="G406" s="208"/>
      <c r="H406" s="208"/>
    </row>
    <row r="407" spans="1:8" ht="15.75" customHeight="1" x14ac:dyDescent="0.25">
      <c r="A407" s="212" t="s">
        <v>1260</v>
      </c>
      <c r="B407" s="214"/>
      <c r="C407" s="211" t="s">
        <v>1255</v>
      </c>
      <c r="D407" s="213">
        <v>3.6</v>
      </c>
      <c r="E407" s="218">
        <v>4</v>
      </c>
      <c r="F407" s="213">
        <f t="shared" si="6"/>
        <v>14.4</v>
      </c>
      <c r="G407" s="211" t="s">
        <v>767</v>
      </c>
      <c r="H407" s="208"/>
    </row>
    <row r="408" spans="1:8" ht="13.5" customHeight="1" x14ac:dyDescent="0.25">
      <c r="A408" s="211" t="s">
        <v>1261</v>
      </c>
      <c r="B408" s="211" t="s">
        <v>1172</v>
      </c>
      <c r="C408" s="211" t="s">
        <v>896</v>
      </c>
      <c r="D408" s="213">
        <v>2.6</v>
      </c>
      <c r="E408" s="218"/>
      <c r="F408" s="213">
        <f t="shared" si="6"/>
        <v>0</v>
      </c>
      <c r="G408" s="208"/>
      <c r="H408" s="208"/>
    </row>
    <row r="409" spans="1:8" ht="15.75" customHeight="1" x14ac:dyDescent="0.25">
      <c r="A409" s="212" t="s">
        <v>1262</v>
      </c>
      <c r="B409" s="214"/>
      <c r="C409" s="211" t="s">
        <v>1188</v>
      </c>
      <c r="D409" s="213">
        <v>70</v>
      </c>
      <c r="E409" s="218">
        <v>0</v>
      </c>
      <c r="F409" s="213">
        <f t="shared" si="6"/>
        <v>0</v>
      </c>
      <c r="G409" s="211" t="s">
        <v>778</v>
      </c>
      <c r="H409" s="208"/>
    </row>
    <row r="410" spans="1:8" ht="15.75" customHeight="1" x14ac:dyDescent="0.25">
      <c r="A410" s="211" t="s">
        <v>1263</v>
      </c>
      <c r="B410" s="211" t="s">
        <v>1172</v>
      </c>
      <c r="C410" s="211" t="s">
        <v>1218</v>
      </c>
      <c r="D410" s="213">
        <v>7.5</v>
      </c>
      <c r="E410" s="218"/>
      <c r="F410" s="213">
        <f t="shared" si="6"/>
        <v>0</v>
      </c>
      <c r="G410" s="208"/>
      <c r="H410" s="208"/>
    </row>
    <row r="411" spans="1:8" ht="13.5" customHeight="1" x14ac:dyDescent="0.25">
      <c r="A411" s="212" t="s">
        <v>1264</v>
      </c>
      <c r="B411" s="214"/>
      <c r="C411" s="211" t="s">
        <v>1188</v>
      </c>
      <c r="D411" s="213">
        <v>39</v>
      </c>
      <c r="E411" s="218">
        <v>1</v>
      </c>
      <c r="F411" s="213">
        <f t="shared" si="6"/>
        <v>39</v>
      </c>
      <c r="G411" s="207" t="s">
        <v>917</v>
      </c>
      <c r="H411" s="208"/>
    </row>
    <row r="412" spans="1:8" ht="15.75" customHeight="1" x14ac:dyDescent="0.25">
      <c r="A412" s="212" t="s">
        <v>1265</v>
      </c>
      <c r="B412" s="214"/>
      <c r="C412" s="214"/>
      <c r="D412" s="213">
        <v>28</v>
      </c>
      <c r="E412" s="218"/>
      <c r="F412" s="213">
        <f t="shared" si="6"/>
        <v>0</v>
      </c>
      <c r="G412" s="207" t="s">
        <v>778</v>
      </c>
      <c r="H412" s="208"/>
    </row>
    <row r="413" spans="1:8" ht="15.75" customHeight="1" x14ac:dyDescent="0.25">
      <c r="A413" s="212" t="s">
        <v>1266</v>
      </c>
      <c r="B413" s="214"/>
      <c r="C413" s="214" t="s">
        <v>1188</v>
      </c>
      <c r="D413" s="213">
        <v>22</v>
      </c>
      <c r="E413" s="218">
        <v>0</v>
      </c>
      <c r="F413" s="213">
        <f>D413:D413*E413:E413</f>
        <v>0</v>
      </c>
      <c r="G413" s="207" t="s">
        <v>767</v>
      </c>
      <c r="H413" s="208"/>
    </row>
    <row r="414" spans="1:8" ht="15.75" customHeight="1" x14ac:dyDescent="0.25">
      <c r="A414" s="211" t="s">
        <v>1267</v>
      </c>
      <c r="B414" s="211" t="s">
        <v>1172</v>
      </c>
      <c r="C414" s="211" t="s">
        <v>1218</v>
      </c>
      <c r="D414" s="213">
        <v>3.7</v>
      </c>
      <c r="E414" s="218"/>
      <c r="F414" s="213">
        <f t="shared" si="6"/>
        <v>0</v>
      </c>
      <c r="G414" s="208"/>
      <c r="H414" s="208"/>
    </row>
    <row r="415" spans="1:8" ht="15.75" customHeight="1" x14ac:dyDescent="0.25">
      <c r="A415" s="212" t="s">
        <v>1268</v>
      </c>
      <c r="B415" s="214"/>
      <c r="C415" s="211" t="s">
        <v>1269</v>
      </c>
      <c r="D415" s="213">
        <v>40</v>
      </c>
      <c r="E415" s="218">
        <v>1</v>
      </c>
      <c r="F415" s="213">
        <f t="shared" si="6"/>
        <v>40</v>
      </c>
      <c r="G415" s="211" t="s">
        <v>767</v>
      </c>
      <c r="H415" s="208"/>
    </row>
    <row r="416" spans="1:8" ht="13.5" customHeight="1" x14ac:dyDescent="0.25">
      <c r="A416" s="212" t="s">
        <v>1270</v>
      </c>
      <c r="B416" s="214"/>
      <c r="C416" s="211" t="s">
        <v>1271</v>
      </c>
      <c r="D416" s="213">
        <v>4.0999999999999996</v>
      </c>
      <c r="E416" s="218"/>
      <c r="F416" s="213">
        <f t="shared" si="6"/>
        <v>0</v>
      </c>
      <c r="G416" s="208"/>
      <c r="H416" s="208"/>
    </row>
    <row r="417" spans="1:8" ht="13.5" customHeight="1" x14ac:dyDescent="0.25">
      <c r="A417" s="212" t="s">
        <v>1272</v>
      </c>
      <c r="B417" s="214"/>
      <c r="C417" s="211" t="s">
        <v>1220</v>
      </c>
      <c r="D417" s="213">
        <v>3.3</v>
      </c>
      <c r="E417" s="218"/>
      <c r="F417" s="213">
        <f t="shared" si="6"/>
        <v>0</v>
      </c>
      <c r="G417" s="208"/>
      <c r="H417" s="208"/>
    </row>
    <row r="418" spans="1:8" ht="13.5" customHeight="1" x14ac:dyDescent="0.25">
      <c r="A418" s="211" t="s">
        <v>1273</v>
      </c>
      <c r="B418" s="211" t="s">
        <v>1172</v>
      </c>
      <c r="C418" s="211" t="s">
        <v>1274</v>
      </c>
      <c r="D418" s="213">
        <v>0</v>
      </c>
      <c r="E418" s="218"/>
      <c r="F418" s="213">
        <f t="shared" si="6"/>
        <v>0</v>
      </c>
      <c r="G418" s="208" t="s">
        <v>900</v>
      </c>
      <c r="H418" s="208"/>
    </row>
    <row r="419" spans="1:8" ht="15.75" customHeight="1" x14ac:dyDescent="0.25">
      <c r="A419" s="211" t="s">
        <v>1275</v>
      </c>
      <c r="B419" s="211" t="s">
        <v>1172</v>
      </c>
      <c r="C419" s="211" t="s">
        <v>1190</v>
      </c>
      <c r="D419" s="213">
        <v>18.3</v>
      </c>
      <c r="E419" s="218"/>
      <c r="F419" s="213">
        <f t="shared" si="6"/>
        <v>0</v>
      </c>
      <c r="G419" s="207" t="s">
        <v>778</v>
      </c>
      <c r="H419" s="208"/>
    </row>
    <row r="420" spans="1:8" ht="15.75" customHeight="1" x14ac:dyDescent="0.25">
      <c r="A420" s="211" t="s">
        <v>1276</v>
      </c>
      <c r="B420" s="211" t="s">
        <v>1172</v>
      </c>
      <c r="C420" s="211" t="s">
        <v>1190</v>
      </c>
      <c r="D420" s="213">
        <v>3.8</v>
      </c>
      <c r="E420" s="218"/>
      <c r="F420" s="213">
        <f t="shared" si="6"/>
        <v>0</v>
      </c>
      <c r="G420" s="211" t="s">
        <v>778</v>
      </c>
      <c r="H420" s="208"/>
    </row>
    <row r="421" spans="1:8" ht="15.75" customHeight="1" x14ac:dyDescent="0.25">
      <c r="A421" s="212" t="s">
        <v>1277</v>
      </c>
      <c r="B421" s="214"/>
      <c r="C421" s="211" t="s">
        <v>1255</v>
      </c>
      <c r="D421" s="213">
        <v>4.5</v>
      </c>
      <c r="E421" s="218"/>
      <c r="F421" s="213">
        <f t="shared" si="6"/>
        <v>0</v>
      </c>
      <c r="G421" s="211" t="s">
        <v>767</v>
      </c>
      <c r="H421" s="208"/>
    </row>
    <row r="422" spans="1:8" ht="13.5" customHeight="1" x14ac:dyDescent="0.25">
      <c r="A422" s="212" t="s">
        <v>1278</v>
      </c>
      <c r="B422" s="214"/>
      <c r="C422" s="214"/>
      <c r="D422" s="213">
        <v>19.899999999999999</v>
      </c>
      <c r="E422" s="218"/>
      <c r="F422" s="213">
        <f t="shared" si="6"/>
        <v>0</v>
      </c>
      <c r="G422" s="208"/>
      <c r="H422" s="208"/>
    </row>
    <row r="423" spans="1:8" ht="15.75" customHeight="1" x14ac:dyDescent="0.25">
      <c r="A423" s="212" t="s">
        <v>1279</v>
      </c>
      <c r="B423" s="214"/>
      <c r="C423" s="211" t="s">
        <v>1188</v>
      </c>
      <c r="D423" s="213">
        <v>43.7</v>
      </c>
      <c r="E423" s="218">
        <v>0</v>
      </c>
      <c r="F423" s="213">
        <f t="shared" si="6"/>
        <v>0</v>
      </c>
      <c r="G423" s="211" t="s">
        <v>778</v>
      </c>
      <c r="H423" s="208"/>
    </row>
    <row r="424" spans="1:8" ht="13.5" customHeight="1" x14ac:dyDescent="0.25">
      <c r="A424" s="211" t="s">
        <v>1280</v>
      </c>
      <c r="B424" s="211" t="s">
        <v>1172</v>
      </c>
      <c r="C424" s="211" t="s">
        <v>1190</v>
      </c>
      <c r="D424" s="213">
        <v>10.395</v>
      </c>
      <c r="E424" s="218"/>
      <c r="F424" s="213">
        <f t="shared" si="6"/>
        <v>0</v>
      </c>
      <c r="G424" s="211" t="s">
        <v>767</v>
      </c>
      <c r="H424" s="208"/>
    </row>
    <row r="425" spans="1:8" ht="13.5" customHeight="1" x14ac:dyDescent="0.25">
      <c r="A425" s="212" t="s">
        <v>1281</v>
      </c>
      <c r="B425" s="214"/>
      <c r="C425" s="211" t="s">
        <v>1182</v>
      </c>
      <c r="D425" s="213">
        <v>25</v>
      </c>
      <c r="E425" s="218"/>
      <c r="F425" s="213">
        <f t="shared" si="6"/>
        <v>0</v>
      </c>
      <c r="G425" s="208"/>
      <c r="H425" s="208"/>
    </row>
    <row r="426" spans="1:8" ht="15.75" customHeight="1" x14ac:dyDescent="0.25">
      <c r="A426" s="211" t="s">
        <v>1282</v>
      </c>
      <c r="B426" s="211" t="s">
        <v>1172</v>
      </c>
      <c r="C426" s="211" t="s">
        <v>958</v>
      </c>
      <c r="D426" s="213">
        <v>3.5</v>
      </c>
      <c r="E426" s="218">
        <v>0</v>
      </c>
      <c r="F426" s="213">
        <v>0</v>
      </c>
      <c r="G426" s="211" t="s">
        <v>778</v>
      </c>
      <c r="H426" s="208"/>
    </row>
    <row r="427" spans="1:8" ht="15.75" customHeight="1" x14ac:dyDescent="0.25">
      <c r="A427" s="211" t="s">
        <v>1283</v>
      </c>
      <c r="B427" s="211" t="s">
        <v>1172</v>
      </c>
      <c r="C427" s="211" t="s">
        <v>958</v>
      </c>
      <c r="D427" s="213">
        <v>2.1040000000000001</v>
      </c>
      <c r="E427" s="218"/>
      <c r="F427" s="213">
        <f t="shared" si="6"/>
        <v>0</v>
      </c>
      <c r="G427" s="208"/>
      <c r="H427" s="208"/>
    </row>
    <row r="428" spans="1:8" ht="15.75" customHeight="1" x14ac:dyDescent="0.25">
      <c r="A428" s="212" t="s">
        <v>1284</v>
      </c>
      <c r="B428" s="214"/>
      <c r="C428" s="211" t="s">
        <v>1285</v>
      </c>
      <c r="D428" s="213">
        <v>35</v>
      </c>
      <c r="E428" s="218"/>
      <c r="F428" s="213">
        <f t="shared" si="6"/>
        <v>0</v>
      </c>
      <c r="G428" s="208"/>
      <c r="H428" s="208"/>
    </row>
    <row r="429" spans="1:8" ht="15.75" customHeight="1" x14ac:dyDescent="0.25">
      <c r="A429" s="212" t="s">
        <v>1286</v>
      </c>
      <c r="B429" s="214"/>
      <c r="C429" s="214"/>
      <c r="D429" s="213">
        <v>6.5</v>
      </c>
      <c r="E429" s="218"/>
      <c r="F429" s="213">
        <f t="shared" si="6"/>
        <v>0</v>
      </c>
      <c r="G429" s="208"/>
      <c r="H429" s="208"/>
    </row>
    <row r="430" spans="1:8" ht="13.5" customHeight="1" x14ac:dyDescent="0.25">
      <c r="A430" s="212" t="s">
        <v>1287</v>
      </c>
      <c r="B430" s="214"/>
      <c r="C430" s="211" t="s">
        <v>958</v>
      </c>
      <c r="D430" s="213">
        <v>1.3</v>
      </c>
      <c r="E430" s="218"/>
      <c r="F430" s="213">
        <f t="shared" si="6"/>
        <v>0</v>
      </c>
      <c r="G430" s="208"/>
      <c r="H430" s="208"/>
    </row>
    <row r="431" spans="1:8" ht="15.75" customHeight="1" x14ac:dyDescent="0.25">
      <c r="A431" s="212" t="s">
        <v>1288</v>
      </c>
      <c r="B431" s="214"/>
      <c r="C431" s="214"/>
      <c r="D431" s="213">
        <v>22</v>
      </c>
      <c r="E431" s="218">
        <v>0</v>
      </c>
      <c r="F431" s="213">
        <f t="shared" si="6"/>
        <v>0</v>
      </c>
      <c r="G431" s="221" t="s">
        <v>809</v>
      </c>
      <c r="H431" s="208"/>
    </row>
    <row r="432" spans="1:8" ht="13.5" customHeight="1" x14ac:dyDescent="0.25">
      <c r="A432" s="211" t="s">
        <v>1289</v>
      </c>
      <c r="B432" s="211" t="s">
        <v>1172</v>
      </c>
      <c r="C432" s="211" t="s">
        <v>1290</v>
      </c>
      <c r="D432" s="213">
        <v>22</v>
      </c>
      <c r="E432" s="218"/>
      <c r="F432" s="213">
        <f t="shared" si="6"/>
        <v>0</v>
      </c>
      <c r="G432" s="207" t="s">
        <v>778</v>
      </c>
      <c r="H432" s="208"/>
    </row>
    <row r="433" spans="1:8" ht="13.5" customHeight="1" x14ac:dyDescent="0.25">
      <c r="A433" s="211" t="s">
        <v>1291</v>
      </c>
      <c r="B433" s="211" t="s">
        <v>1172</v>
      </c>
      <c r="C433" s="211" t="s">
        <v>1190</v>
      </c>
      <c r="D433" s="213">
        <v>20</v>
      </c>
      <c r="E433" s="218"/>
      <c r="F433" s="213">
        <f t="shared" si="6"/>
        <v>0</v>
      </c>
      <c r="G433" s="207" t="s">
        <v>778</v>
      </c>
      <c r="H433" s="208"/>
    </row>
    <row r="434" spans="1:8" ht="13.5" customHeight="1" x14ac:dyDescent="0.25">
      <c r="A434" s="211" t="s">
        <v>1292</v>
      </c>
      <c r="B434" s="211" t="s">
        <v>1172</v>
      </c>
      <c r="C434" s="211" t="s">
        <v>1190</v>
      </c>
      <c r="D434" s="213">
        <v>14.1</v>
      </c>
      <c r="E434" s="218">
        <v>1</v>
      </c>
      <c r="F434" s="213">
        <f t="shared" si="6"/>
        <v>14.1</v>
      </c>
      <c r="G434" s="207" t="s">
        <v>767</v>
      </c>
      <c r="H434" s="208"/>
    </row>
    <row r="435" spans="1:8" ht="15.75" customHeight="1" x14ac:dyDescent="0.25">
      <c r="A435" s="211" t="s">
        <v>1293</v>
      </c>
      <c r="B435" s="211" t="s">
        <v>1172</v>
      </c>
      <c r="C435" s="211" t="s">
        <v>1190</v>
      </c>
      <c r="D435" s="213">
        <v>99</v>
      </c>
      <c r="E435" s="218">
        <v>0.3</v>
      </c>
      <c r="F435" s="213">
        <f t="shared" si="6"/>
        <v>29.7</v>
      </c>
      <c r="G435" s="213" t="s">
        <v>767</v>
      </c>
      <c r="H435" s="208"/>
    </row>
    <row r="436" spans="1:8" ht="15.75" customHeight="1" x14ac:dyDescent="0.25">
      <c r="A436" s="211" t="s">
        <v>1294</v>
      </c>
      <c r="B436" s="211" t="s">
        <v>1172</v>
      </c>
      <c r="C436" s="211" t="s">
        <v>1190</v>
      </c>
      <c r="D436" s="213">
        <v>7.5</v>
      </c>
      <c r="E436" s="218">
        <v>0.2</v>
      </c>
      <c r="F436" s="213">
        <f t="shared" si="6"/>
        <v>1.5</v>
      </c>
      <c r="G436" s="211" t="s">
        <v>767</v>
      </c>
      <c r="H436" s="208"/>
    </row>
    <row r="437" spans="1:8" ht="13.5" customHeight="1" x14ac:dyDescent="0.25">
      <c r="A437" s="212" t="s">
        <v>1295</v>
      </c>
      <c r="B437" s="214"/>
      <c r="C437" s="214"/>
      <c r="D437" s="213">
        <v>3</v>
      </c>
      <c r="E437" s="218"/>
      <c r="F437" s="213">
        <f t="shared" si="6"/>
        <v>0</v>
      </c>
      <c r="G437" s="208"/>
      <c r="H437" s="208"/>
    </row>
    <row r="438" spans="1:8" ht="13.5" customHeight="1" x14ac:dyDescent="0.25">
      <c r="A438" s="212" t="s">
        <v>1296</v>
      </c>
      <c r="B438" s="214"/>
      <c r="C438" s="211" t="s">
        <v>1255</v>
      </c>
      <c r="D438" s="213">
        <v>1.5</v>
      </c>
      <c r="E438" s="218"/>
      <c r="F438" s="213">
        <f t="shared" si="6"/>
        <v>0</v>
      </c>
      <c r="G438" s="207" t="s">
        <v>778</v>
      </c>
      <c r="H438" s="208"/>
    </row>
    <row r="439" spans="1:8" ht="15.75" customHeight="1" x14ac:dyDescent="0.25">
      <c r="A439" s="211" t="s">
        <v>1297</v>
      </c>
      <c r="B439" s="211" t="s">
        <v>1172</v>
      </c>
      <c r="C439" s="211" t="s">
        <v>1190</v>
      </c>
      <c r="D439" s="213">
        <v>6</v>
      </c>
      <c r="E439" s="218"/>
      <c r="F439" s="213">
        <f t="shared" si="6"/>
        <v>0</v>
      </c>
      <c r="G439" s="207" t="s">
        <v>778</v>
      </c>
      <c r="H439" s="208"/>
    </row>
    <row r="440" spans="1:8" ht="13.5" customHeight="1" x14ac:dyDescent="0.25">
      <c r="A440" s="211" t="s">
        <v>1298</v>
      </c>
      <c r="B440" s="211" t="s">
        <v>1172</v>
      </c>
      <c r="C440" s="211" t="s">
        <v>1190</v>
      </c>
      <c r="D440" s="213">
        <v>15</v>
      </c>
      <c r="E440" s="218">
        <v>1</v>
      </c>
      <c r="F440" s="213">
        <f t="shared" si="6"/>
        <v>15</v>
      </c>
      <c r="G440" s="211" t="s">
        <v>767</v>
      </c>
      <c r="H440" s="208"/>
    </row>
    <row r="441" spans="1:8" ht="15.75" customHeight="1" x14ac:dyDescent="0.25">
      <c r="A441" s="212" t="s">
        <v>1299</v>
      </c>
      <c r="B441" s="214"/>
      <c r="C441" s="211" t="s">
        <v>1182</v>
      </c>
      <c r="D441" s="213">
        <v>18</v>
      </c>
      <c r="E441" s="218">
        <v>2</v>
      </c>
      <c r="F441" s="213">
        <f>D441:D441*E441:E441</f>
        <v>36</v>
      </c>
      <c r="G441" s="211" t="s">
        <v>767</v>
      </c>
      <c r="H441" s="208"/>
    </row>
    <row r="442" spans="1:8" ht="15.75" customHeight="1" x14ac:dyDescent="0.25">
      <c r="A442" s="212" t="s">
        <v>1300</v>
      </c>
      <c r="B442" s="214"/>
      <c r="C442" s="211" t="s">
        <v>1271</v>
      </c>
      <c r="D442" s="213">
        <v>7.5</v>
      </c>
      <c r="E442" s="218"/>
      <c r="F442" s="213">
        <f>D442:D442*E442:E442</f>
        <v>0</v>
      </c>
      <c r="G442" s="211" t="s">
        <v>767</v>
      </c>
      <c r="H442" s="208"/>
    </row>
    <row r="443" spans="1:8" ht="15.75" customHeight="1" x14ac:dyDescent="0.25">
      <c r="A443" s="212" t="s">
        <v>1301</v>
      </c>
      <c r="B443" s="214"/>
      <c r="C443" s="211" t="s">
        <v>1271</v>
      </c>
      <c r="D443" s="213"/>
      <c r="E443" s="218">
        <v>3</v>
      </c>
      <c r="F443" s="213"/>
      <c r="G443" s="211" t="s">
        <v>767</v>
      </c>
      <c r="H443" s="208"/>
    </row>
    <row r="444" spans="1:8" ht="15.75" customHeight="1" x14ac:dyDescent="0.25">
      <c r="A444" s="212" t="s">
        <v>1302</v>
      </c>
      <c r="B444" s="214"/>
      <c r="C444" s="211" t="s">
        <v>1220</v>
      </c>
      <c r="D444" s="213">
        <v>4.0999999999999996</v>
      </c>
      <c r="E444" s="218">
        <v>0</v>
      </c>
      <c r="F444" s="222" cm="1">
        <f t="array" ref="F444">_xlfn.SINGLE(D444:D444)*E444:E444</f>
        <v>0</v>
      </c>
      <c r="G444" s="211" t="s">
        <v>778</v>
      </c>
      <c r="H444" s="208"/>
    </row>
    <row r="445" spans="1:8" ht="13.5" customHeight="1" x14ac:dyDescent="0.25">
      <c r="A445" s="211" t="s">
        <v>1303</v>
      </c>
      <c r="B445" s="211" t="s">
        <v>1172</v>
      </c>
      <c r="C445" s="211" t="s">
        <v>1200</v>
      </c>
      <c r="D445" s="213">
        <v>3.7</v>
      </c>
      <c r="E445" s="218"/>
      <c r="F445" s="213">
        <f t="shared" ref="F445:F510" si="7">D445:D445*E445:E445</f>
        <v>0</v>
      </c>
      <c r="G445" s="208"/>
      <c r="H445" s="208"/>
    </row>
    <row r="446" spans="1:8" ht="13.5" customHeight="1" x14ac:dyDescent="0.25">
      <c r="A446" s="212" t="s">
        <v>1304</v>
      </c>
      <c r="B446" s="214"/>
      <c r="C446" s="214"/>
      <c r="D446" s="213">
        <v>6.3</v>
      </c>
      <c r="E446" s="218"/>
      <c r="F446" s="213">
        <f t="shared" si="7"/>
        <v>0</v>
      </c>
      <c r="G446" s="211" t="s">
        <v>767</v>
      </c>
      <c r="H446" s="208"/>
    </row>
    <row r="447" spans="1:8" ht="13.5" customHeight="1" x14ac:dyDescent="0.25">
      <c r="A447" s="211" t="s">
        <v>1305</v>
      </c>
      <c r="B447" s="211" t="s">
        <v>1172</v>
      </c>
      <c r="C447" s="211" t="s">
        <v>1190</v>
      </c>
      <c r="D447" s="213">
        <v>14</v>
      </c>
      <c r="E447" s="218"/>
      <c r="F447" s="213">
        <f t="shared" si="7"/>
        <v>0</v>
      </c>
      <c r="G447" s="208"/>
      <c r="H447" s="208"/>
    </row>
    <row r="448" spans="1:8" ht="13.5" customHeight="1" x14ac:dyDescent="0.25">
      <c r="A448" s="211" t="s">
        <v>1306</v>
      </c>
      <c r="B448" s="211" t="s">
        <v>1307</v>
      </c>
      <c r="C448" s="211" t="s">
        <v>1308</v>
      </c>
      <c r="D448" s="213">
        <v>5</v>
      </c>
      <c r="E448" s="218"/>
      <c r="F448" s="213">
        <f t="shared" si="7"/>
        <v>0</v>
      </c>
      <c r="G448" s="208"/>
      <c r="H448" s="208"/>
    </row>
    <row r="449" spans="1:8" ht="13.5" customHeight="1" x14ac:dyDescent="0.25">
      <c r="A449" s="211" t="s">
        <v>1309</v>
      </c>
      <c r="B449" s="211" t="s">
        <v>1310</v>
      </c>
      <c r="C449" s="211" t="s">
        <v>1182</v>
      </c>
      <c r="D449" s="213">
        <v>40</v>
      </c>
      <c r="E449" s="218">
        <v>0</v>
      </c>
      <c r="F449" s="213">
        <f t="shared" si="7"/>
        <v>0</v>
      </c>
      <c r="G449" s="208"/>
      <c r="H449" s="208"/>
    </row>
    <row r="450" spans="1:8" ht="13.5" customHeight="1" x14ac:dyDescent="0.25">
      <c r="A450" s="211" t="s">
        <v>1311</v>
      </c>
      <c r="B450" s="211" t="s">
        <v>1172</v>
      </c>
      <c r="C450" s="214">
        <v>500</v>
      </c>
      <c r="D450" s="213">
        <v>5.8</v>
      </c>
      <c r="E450" s="218"/>
      <c r="F450" s="213">
        <f t="shared" si="7"/>
        <v>0</v>
      </c>
      <c r="G450" s="208"/>
      <c r="H450" s="208"/>
    </row>
    <row r="451" spans="1:8" ht="15.75" customHeight="1" x14ac:dyDescent="0.25">
      <c r="A451" s="211" t="s">
        <v>1312</v>
      </c>
      <c r="B451" s="211" t="s">
        <v>1172</v>
      </c>
      <c r="C451" s="211" t="s">
        <v>1218</v>
      </c>
      <c r="D451" s="213">
        <v>3</v>
      </c>
      <c r="E451" s="218"/>
      <c r="F451" s="213">
        <f t="shared" si="7"/>
        <v>0</v>
      </c>
      <c r="G451" s="207" t="s">
        <v>778</v>
      </c>
      <c r="H451" s="208"/>
    </row>
    <row r="452" spans="1:8" ht="13.5" customHeight="1" x14ac:dyDescent="0.25">
      <c r="A452" s="211" t="s">
        <v>1313</v>
      </c>
      <c r="B452" s="211" t="s">
        <v>1172</v>
      </c>
      <c r="C452" s="211" t="s">
        <v>1182</v>
      </c>
      <c r="D452" s="213">
        <v>12</v>
      </c>
      <c r="E452" s="218"/>
      <c r="F452" s="213">
        <f t="shared" si="7"/>
        <v>0</v>
      </c>
      <c r="G452" s="208"/>
      <c r="H452" s="208"/>
    </row>
    <row r="453" spans="1:8" ht="15.75" customHeight="1" x14ac:dyDescent="0.25">
      <c r="A453" s="212" t="s">
        <v>1314</v>
      </c>
      <c r="B453" s="214"/>
      <c r="C453" s="211" t="s">
        <v>958</v>
      </c>
      <c r="D453" s="213">
        <v>1.7</v>
      </c>
      <c r="E453" s="218">
        <v>0</v>
      </c>
      <c r="F453" s="213">
        <f t="shared" si="7"/>
        <v>0</v>
      </c>
      <c r="G453" s="211" t="s">
        <v>767</v>
      </c>
      <c r="H453" s="208"/>
    </row>
    <row r="454" spans="1:8" ht="15.75" customHeight="1" x14ac:dyDescent="0.25">
      <c r="A454" s="211" t="s">
        <v>1315</v>
      </c>
      <c r="B454" s="211" t="s">
        <v>1172</v>
      </c>
      <c r="C454" s="211" t="s">
        <v>1200</v>
      </c>
      <c r="D454" s="213">
        <v>2.7</v>
      </c>
      <c r="E454" s="218">
        <v>0</v>
      </c>
      <c r="F454" s="213">
        <f t="shared" si="7"/>
        <v>0</v>
      </c>
      <c r="G454" s="209" t="s">
        <v>778</v>
      </c>
      <c r="H454" s="208"/>
    </row>
    <row r="455" spans="1:8" ht="15.75" customHeight="1" x14ac:dyDescent="0.25">
      <c r="A455" s="212" t="s">
        <v>1316</v>
      </c>
      <c r="B455" s="214"/>
      <c r="C455" s="211" t="s">
        <v>1188</v>
      </c>
      <c r="D455" s="213">
        <v>64</v>
      </c>
      <c r="E455" s="218">
        <v>1</v>
      </c>
      <c r="F455" s="213">
        <f t="shared" si="7"/>
        <v>64</v>
      </c>
      <c r="G455" s="211" t="s">
        <v>767</v>
      </c>
      <c r="H455" s="208"/>
    </row>
    <row r="456" spans="1:8" ht="15.75" customHeight="1" x14ac:dyDescent="0.25">
      <c r="A456" s="212" t="s">
        <v>1317</v>
      </c>
      <c r="B456" s="214"/>
      <c r="C456" s="211" t="s">
        <v>1182</v>
      </c>
      <c r="D456" s="213">
        <v>6.8</v>
      </c>
      <c r="E456" s="218"/>
      <c r="F456" s="213">
        <f t="shared" si="7"/>
        <v>0</v>
      </c>
      <c r="G456" s="208"/>
      <c r="H456" s="208"/>
    </row>
    <row r="457" spans="1:8" ht="13.5" customHeight="1" x14ac:dyDescent="0.25">
      <c r="A457" s="212" t="s">
        <v>1318</v>
      </c>
      <c r="B457" s="214"/>
      <c r="C457" s="211" t="s">
        <v>1182</v>
      </c>
      <c r="D457" s="213">
        <v>16.2</v>
      </c>
      <c r="E457" s="218">
        <v>1</v>
      </c>
      <c r="F457" s="213">
        <f t="shared" si="7"/>
        <v>16.2</v>
      </c>
      <c r="G457" s="214" t="s">
        <v>767</v>
      </c>
      <c r="H457" s="208"/>
    </row>
    <row r="458" spans="1:8" ht="15.75" customHeight="1" x14ac:dyDescent="0.25">
      <c r="A458" s="212" t="s">
        <v>1319</v>
      </c>
      <c r="B458" s="214"/>
      <c r="C458" s="211" t="s">
        <v>1255</v>
      </c>
      <c r="D458" s="213">
        <v>8.6</v>
      </c>
      <c r="E458" s="218"/>
      <c r="F458" s="213">
        <f t="shared" si="7"/>
        <v>0</v>
      </c>
      <c r="G458" s="207" t="s">
        <v>778</v>
      </c>
      <c r="H458" s="208"/>
    </row>
    <row r="459" spans="1:8" ht="15.75" customHeight="1" x14ac:dyDescent="0.25">
      <c r="A459" s="211" t="s">
        <v>1320</v>
      </c>
      <c r="B459" s="211" t="s">
        <v>1172</v>
      </c>
      <c r="C459" s="211" t="s">
        <v>958</v>
      </c>
      <c r="D459" s="213">
        <v>2.8</v>
      </c>
      <c r="E459" s="218"/>
      <c r="F459" s="213">
        <f t="shared" si="7"/>
        <v>0</v>
      </c>
      <c r="G459" s="208"/>
      <c r="H459" s="208"/>
    </row>
    <row r="460" spans="1:8" ht="15.75" customHeight="1" x14ac:dyDescent="0.25">
      <c r="A460" s="212" t="s">
        <v>1321</v>
      </c>
      <c r="B460" s="214"/>
      <c r="C460" s="211" t="s">
        <v>958</v>
      </c>
      <c r="D460" s="213">
        <v>7</v>
      </c>
      <c r="E460" s="218">
        <v>2</v>
      </c>
      <c r="F460" s="213">
        <f t="shared" si="7"/>
        <v>14</v>
      </c>
      <c r="G460" s="211" t="s">
        <v>767</v>
      </c>
      <c r="H460" s="208"/>
    </row>
    <row r="461" spans="1:8" ht="15.75" customHeight="1" x14ac:dyDescent="0.25">
      <c r="A461" s="212" t="s">
        <v>1322</v>
      </c>
      <c r="B461" s="214"/>
      <c r="C461" s="211" t="s">
        <v>958</v>
      </c>
      <c r="D461" s="213">
        <v>1.2</v>
      </c>
      <c r="E461" s="218"/>
      <c r="F461" s="213">
        <f t="shared" si="7"/>
        <v>0</v>
      </c>
      <c r="G461" s="207"/>
      <c r="H461" s="208"/>
    </row>
    <row r="462" spans="1:8" ht="15.75" customHeight="1" x14ac:dyDescent="0.25">
      <c r="A462" s="212" t="s">
        <v>1323</v>
      </c>
      <c r="B462" s="214"/>
      <c r="C462" s="211" t="s">
        <v>1324</v>
      </c>
      <c r="D462" s="213">
        <v>3.6</v>
      </c>
      <c r="E462" s="218"/>
      <c r="F462" s="213">
        <f>D462:D462*E462:E462</f>
        <v>0</v>
      </c>
      <c r="G462" s="207" t="s">
        <v>767</v>
      </c>
      <c r="H462" s="208"/>
    </row>
    <row r="463" spans="1:8" ht="15.75" customHeight="1" x14ac:dyDescent="0.25">
      <c r="A463" s="212" t="s">
        <v>1325</v>
      </c>
      <c r="B463" s="214"/>
      <c r="C463" s="211" t="s">
        <v>1188</v>
      </c>
      <c r="D463" s="213">
        <v>15.9</v>
      </c>
      <c r="E463" s="218"/>
      <c r="F463" s="213">
        <f t="shared" si="7"/>
        <v>0</v>
      </c>
      <c r="G463" s="207" t="s">
        <v>778</v>
      </c>
      <c r="H463" s="208"/>
    </row>
    <row r="464" spans="1:8" ht="15.75" customHeight="1" x14ac:dyDescent="0.25">
      <c r="A464" s="212" t="s">
        <v>1326</v>
      </c>
      <c r="B464" s="214"/>
      <c r="C464" s="214"/>
      <c r="D464" s="213">
        <v>39</v>
      </c>
      <c r="E464" s="211"/>
      <c r="F464" s="213"/>
      <c r="G464" s="208"/>
      <c r="H464" s="208"/>
    </row>
    <row r="465" spans="1:8" ht="15.75" customHeight="1" x14ac:dyDescent="0.25">
      <c r="A465" s="212" t="s">
        <v>1327</v>
      </c>
      <c r="B465" s="214"/>
      <c r="C465" s="211" t="s">
        <v>1188</v>
      </c>
      <c r="D465" s="213">
        <v>19.8</v>
      </c>
      <c r="E465" s="218">
        <v>1</v>
      </c>
      <c r="F465" s="213">
        <f t="shared" ref="F465:F531" si="8">D465:D465*E465:E465</f>
        <v>19.8</v>
      </c>
      <c r="G465" s="211" t="s">
        <v>767</v>
      </c>
      <c r="H465" s="208"/>
    </row>
    <row r="466" spans="1:8" ht="13.5" customHeight="1" x14ac:dyDescent="0.25">
      <c r="A466" s="212" t="s">
        <v>1328</v>
      </c>
      <c r="B466" s="214"/>
      <c r="C466" s="211" t="s">
        <v>1188</v>
      </c>
      <c r="D466" s="213">
        <v>19.7</v>
      </c>
      <c r="E466" s="218"/>
      <c r="F466" s="213">
        <f t="shared" si="8"/>
        <v>0</v>
      </c>
      <c r="G466" s="207" t="s">
        <v>778</v>
      </c>
      <c r="H466" s="208"/>
    </row>
    <row r="467" spans="1:8" ht="15.75" customHeight="1" x14ac:dyDescent="0.25">
      <c r="A467" s="212" t="s">
        <v>1329</v>
      </c>
      <c r="B467" s="214"/>
      <c r="C467" s="211" t="s">
        <v>1182</v>
      </c>
      <c r="D467" s="213">
        <v>20</v>
      </c>
      <c r="E467" s="218"/>
      <c r="F467" s="213">
        <f t="shared" si="8"/>
        <v>0</v>
      </c>
      <c r="G467" s="208"/>
      <c r="H467" s="208"/>
    </row>
    <row r="468" spans="1:8" ht="15.75" customHeight="1" x14ac:dyDescent="0.25">
      <c r="A468" s="211" t="s">
        <v>1330</v>
      </c>
      <c r="B468" s="211" t="s">
        <v>1172</v>
      </c>
      <c r="C468" s="211" t="s">
        <v>1308</v>
      </c>
      <c r="D468" s="213">
        <v>7</v>
      </c>
      <c r="E468" s="218">
        <v>0</v>
      </c>
      <c r="F468" s="213">
        <f t="shared" si="8"/>
        <v>0</v>
      </c>
      <c r="G468" s="211" t="s">
        <v>767</v>
      </c>
      <c r="H468" s="208"/>
    </row>
    <row r="469" spans="1:8" ht="15.75" customHeight="1" x14ac:dyDescent="0.25">
      <c r="A469" s="212" t="s">
        <v>1331</v>
      </c>
      <c r="B469" s="214"/>
      <c r="C469" s="211" t="s">
        <v>1182</v>
      </c>
      <c r="D469" s="213">
        <v>3.6</v>
      </c>
      <c r="E469" s="218"/>
      <c r="F469" s="213">
        <f t="shared" si="8"/>
        <v>0</v>
      </c>
      <c r="G469" s="208"/>
      <c r="H469" s="208"/>
    </row>
    <row r="470" spans="1:8" ht="13.5" customHeight="1" x14ac:dyDescent="0.25">
      <c r="A470" s="212" t="s">
        <v>1332</v>
      </c>
      <c r="B470" s="214"/>
      <c r="C470" s="211" t="s">
        <v>1182</v>
      </c>
      <c r="D470" s="213">
        <v>8</v>
      </c>
      <c r="E470" s="218">
        <v>2</v>
      </c>
      <c r="F470" s="213">
        <f t="shared" si="8"/>
        <v>16</v>
      </c>
      <c r="G470" s="211" t="s">
        <v>767</v>
      </c>
      <c r="H470" s="208"/>
    </row>
    <row r="471" spans="1:8" ht="15.75" customHeight="1" x14ac:dyDescent="0.25">
      <c r="A471" s="212" t="s">
        <v>1333</v>
      </c>
      <c r="B471" s="214"/>
      <c r="C471" s="211" t="s">
        <v>1182</v>
      </c>
      <c r="D471" s="213">
        <v>60</v>
      </c>
      <c r="E471" s="218"/>
      <c r="F471" s="213">
        <f t="shared" si="8"/>
        <v>0</v>
      </c>
      <c r="G471" s="207"/>
      <c r="H471" s="208"/>
    </row>
    <row r="472" spans="1:8" ht="13.5" customHeight="1" x14ac:dyDescent="0.25">
      <c r="A472" s="211" t="s">
        <v>1334</v>
      </c>
      <c r="B472" s="211" t="s">
        <v>1172</v>
      </c>
      <c r="C472" s="211" t="s">
        <v>1218</v>
      </c>
      <c r="D472" s="213">
        <v>3.3</v>
      </c>
      <c r="E472" s="218"/>
      <c r="F472" s="213">
        <f t="shared" si="8"/>
        <v>0</v>
      </c>
      <c r="G472" s="208"/>
      <c r="H472" s="208"/>
    </row>
    <row r="473" spans="1:8" ht="13.5" customHeight="1" x14ac:dyDescent="0.25">
      <c r="A473" s="212" t="s">
        <v>1335</v>
      </c>
      <c r="B473" s="214"/>
      <c r="C473" s="211" t="s">
        <v>1188</v>
      </c>
      <c r="D473" s="213">
        <v>31</v>
      </c>
      <c r="E473" s="218">
        <v>1</v>
      </c>
      <c r="F473" s="213">
        <f t="shared" si="8"/>
        <v>31</v>
      </c>
      <c r="G473" s="211" t="s">
        <v>767</v>
      </c>
      <c r="H473" s="208"/>
    </row>
    <row r="474" spans="1:8" ht="13.5" customHeight="1" x14ac:dyDescent="0.25">
      <c r="A474" s="212" t="s">
        <v>1336</v>
      </c>
      <c r="B474" s="214"/>
      <c r="C474" s="211" t="s">
        <v>1337</v>
      </c>
      <c r="D474" s="213">
        <v>2.8</v>
      </c>
      <c r="E474" s="218">
        <v>0</v>
      </c>
      <c r="F474" s="213">
        <f>D474:D474*E474:E474</f>
        <v>0</v>
      </c>
      <c r="G474" s="211" t="s">
        <v>778</v>
      </c>
      <c r="H474" s="208"/>
    </row>
    <row r="475" spans="1:8" ht="13.5" customHeight="1" x14ac:dyDescent="0.25">
      <c r="A475" s="211" t="s">
        <v>1338</v>
      </c>
      <c r="B475" s="211" t="s">
        <v>1172</v>
      </c>
      <c r="C475" s="211" t="s">
        <v>1195</v>
      </c>
      <c r="D475" s="213">
        <v>20</v>
      </c>
      <c r="E475" s="218"/>
      <c r="F475" s="213">
        <f t="shared" si="8"/>
        <v>0</v>
      </c>
      <c r="G475" s="208"/>
      <c r="H475" s="208"/>
    </row>
    <row r="476" spans="1:8" ht="13.5" customHeight="1" x14ac:dyDescent="0.25">
      <c r="A476" s="211" t="s">
        <v>1339</v>
      </c>
      <c r="B476" s="211" t="s">
        <v>1172</v>
      </c>
      <c r="C476" s="211" t="s">
        <v>1182</v>
      </c>
      <c r="D476" s="213">
        <v>14</v>
      </c>
      <c r="E476" s="218"/>
      <c r="F476" s="213">
        <f t="shared" si="8"/>
        <v>0</v>
      </c>
      <c r="G476" s="208"/>
      <c r="H476" s="208"/>
    </row>
    <row r="477" spans="1:8" ht="15.75" customHeight="1" x14ac:dyDescent="0.25">
      <c r="A477" s="211" t="s">
        <v>1340</v>
      </c>
      <c r="B477" s="211" t="s">
        <v>1172</v>
      </c>
      <c r="C477" s="211" t="s">
        <v>1218</v>
      </c>
      <c r="D477" s="213">
        <v>8</v>
      </c>
      <c r="E477" s="218"/>
      <c r="F477" s="213">
        <f t="shared" si="8"/>
        <v>0</v>
      </c>
      <c r="G477" s="207" t="s">
        <v>778</v>
      </c>
      <c r="H477" s="208"/>
    </row>
    <row r="478" spans="1:8" ht="13.5" customHeight="1" x14ac:dyDescent="0.25">
      <c r="A478" s="211" t="s">
        <v>1341</v>
      </c>
      <c r="B478" s="211" t="s">
        <v>1172</v>
      </c>
      <c r="C478" s="211" t="s">
        <v>1218</v>
      </c>
      <c r="D478" s="213">
        <v>2.7</v>
      </c>
      <c r="E478" s="218"/>
      <c r="F478" s="213">
        <f t="shared" si="8"/>
        <v>0</v>
      </c>
      <c r="G478" s="208"/>
      <c r="H478" s="208"/>
    </row>
    <row r="479" spans="1:8" ht="15.75" customHeight="1" x14ac:dyDescent="0.25">
      <c r="A479" s="212" t="s">
        <v>1342</v>
      </c>
      <c r="B479" s="214"/>
      <c r="C479" s="211" t="s">
        <v>1343</v>
      </c>
      <c r="D479" s="213">
        <v>20.8</v>
      </c>
      <c r="E479" s="218"/>
      <c r="F479" s="213">
        <f t="shared" si="8"/>
        <v>0</v>
      </c>
      <c r="G479" s="211" t="s">
        <v>767</v>
      </c>
      <c r="H479" s="208"/>
    </row>
    <row r="480" spans="1:8" ht="13.5" customHeight="1" x14ac:dyDescent="0.25">
      <c r="A480" s="211" t="s">
        <v>1344</v>
      </c>
      <c r="B480" s="211" t="s">
        <v>1172</v>
      </c>
      <c r="C480" s="211" t="s">
        <v>1218</v>
      </c>
      <c r="D480" s="213">
        <v>3</v>
      </c>
      <c r="E480" s="218">
        <v>3</v>
      </c>
      <c r="F480" s="213">
        <f t="shared" si="8"/>
        <v>9</v>
      </c>
      <c r="G480" s="207" t="s">
        <v>767</v>
      </c>
      <c r="H480" s="208"/>
    </row>
    <row r="481" spans="1:8" ht="15.75" customHeight="1" x14ac:dyDescent="0.25">
      <c r="A481" s="212" t="s">
        <v>1345</v>
      </c>
      <c r="B481" s="214"/>
      <c r="C481" s="214"/>
      <c r="D481" s="213">
        <v>2.9</v>
      </c>
      <c r="E481" s="218">
        <v>1</v>
      </c>
      <c r="F481" s="213">
        <f t="shared" si="8"/>
        <v>2.9</v>
      </c>
      <c r="G481" s="211" t="s">
        <v>767</v>
      </c>
      <c r="H481" s="208"/>
    </row>
    <row r="482" spans="1:8" ht="15.75" customHeight="1" x14ac:dyDescent="0.25">
      <c r="A482" s="211" t="s">
        <v>1346</v>
      </c>
      <c r="B482" s="211" t="s">
        <v>1172</v>
      </c>
      <c r="C482" s="211" t="s">
        <v>1188</v>
      </c>
      <c r="D482" s="213">
        <v>29</v>
      </c>
      <c r="E482" s="218"/>
      <c r="F482" s="213">
        <f t="shared" si="8"/>
        <v>0</v>
      </c>
      <c r="G482" s="211" t="s">
        <v>767</v>
      </c>
      <c r="H482" s="208"/>
    </row>
    <row r="483" spans="1:8" ht="15.75" customHeight="1" x14ac:dyDescent="0.25">
      <c r="A483" s="212" t="s">
        <v>1347</v>
      </c>
      <c r="B483" s="214"/>
      <c r="C483" s="214"/>
      <c r="D483" s="213">
        <v>25</v>
      </c>
      <c r="E483" s="214"/>
      <c r="F483" s="213">
        <f t="shared" si="8"/>
        <v>0</v>
      </c>
      <c r="G483" s="208"/>
      <c r="H483" s="208"/>
    </row>
    <row r="484" spans="1:8" ht="15.75" customHeight="1" x14ac:dyDescent="0.25">
      <c r="A484" s="212" t="s">
        <v>1348</v>
      </c>
      <c r="B484" s="214"/>
      <c r="C484" s="214"/>
      <c r="D484" s="213">
        <v>30</v>
      </c>
      <c r="E484" s="214"/>
      <c r="F484" s="213">
        <f t="shared" si="8"/>
        <v>0</v>
      </c>
      <c r="G484" s="207"/>
      <c r="H484" s="208"/>
    </row>
    <row r="485" spans="1:8" ht="15.75" customHeight="1" x14ac:dyDescent="0.25">
      <c r="A485" s="212" t="s">
        <v>1349</v>
      </c>
      <c r="B485" s="214"/>
      <c r="C485" s="214"/>
      <c r="D485" s="213">
        <v>48</v>
      </c>
      <c r="E485" s="214"/>
      <c r="F485" s="213">
        <f t="shared" si="8"/>
        <v>0</v>
      </c>
      <c r="G485" s="208"/>
      <c r="H485" s="208"/>
    </row>
    <row r="486" spans="1:8" ht="13.5" customHeight="1" x14ac:dyDescent="0.25">
      <c r="A486" s="212" t="s">
        <v>1350</v>
      </c>
      <c r="B486" s="214"/>
      <c r="C486" s="211" t="s">
        <v>1182</v>
      </c>
      <c r="D486" s="213">
        <v>12</v>
      </c>
      <c r="E486" s="218"/>
      <c r="F486" s="213">
        <f t="shared" si="8"/>
        <v>0</v>
      </c>
      <c r="G486" s="211" t="s">
        <v>778</v>
      </c>
      <c r="H486" s="208"/>
    </row>
    <row r="487" spans="1:8" ht="15.75" customHeight="1" x14ac:dyDescent="0.25">
      <c r="A487" s="212" t="s">
        <v>1351</v>
      </c>
      <c r="B487" s="214"/>
      <c r="C487" s="214"/>
      <c r="D487" s="213">
        <v>12.9</v>
      </c>
      <c r="E487" s="218"/>
      <c r="F487" s="213">
        <f t="shared" si="8"/>
        <v>0</v>
      </c>
      <c r="G487" s="208"/>
      <c r="H487" s="208"/>
    </row>
    <row r="488" spans="1:8" ht="13.5" customHeight="1" x14ac:dyDescent="0.25">
      <c r="A488" s="211" t="s">
        <v>1352</v>
      </c>
      <c r="B488" s="211" t="s">
        <v>1172</v>
      </c>
      <c r="C488" s="211" t="s">
        <v>1308</v>
      </c>
      <c r="D488" s="213">
        <v>4.2</v>
      </c>
      <c r="E488" s="218"/>
      <c r="F488" s="213">
        <f t="shared" si="8"/>
        <v>0</v>
      </c>
      <c r="G488" s="208"/>
      <c r="H488" s="208"/>
    </row>
    <row r="489" spans="1:8" ht="13.5" customHeight="1" x14ac:dyDescent="0.25">
      <c r="A489" s="212" t="s">
        <v>1353</v>
      </c>
      <c r="B489" s="214"/>
      <c r="C489" s="214"/>
      <c r="D489" s="213">
        <v>7</v>
      </c>
      <c r="E489" s="218"/>
      <c r="F489" s="213">
        <f t="shared" si="8"/>
        <v>0</v>
      </c>
      <c r="G489" s="208"/>
      <c r="H489" s="208"/>
    </row>
    <row r="490" spans="1:8" ht="13.5" customHeight="1" x14ac:dyDescent="0.25">
      <c r="A490" s="211" t="s">
        <v>1354</v>
      </c>
      <c r="B490" s="211" t="s">
        <v>1172</v>
      </c>
      <c r="C490" s="211" t="s">
        <v>1308</v>
      </c>
      <c r="D490" s="213"/>
      <c r="E490" s="218"/>
      <c r="F490" s="213">
        <f t="shared" si="8"/>
        <v>0</v>
      </c>
      <c r="G490" s="208"/>
      <c r="H490" s="208"/>
    </row>
    <row r="491" spans="1:8" ht="15.75" customHeight="1" x14ac:dyDescent="0.25">
      <c r="A491" s="211" t="s">
        <v>1355</v>
      </c>
      <c r="B491" s="211" t="s">
        <v>1172</v>
      </c>
      <c r="C491" s="211" t="s">
        <v>939</v>
      </c>
      <c r="D491" s="213">
        <v>4.2</v>
      </c>
      <c r="E491" s="218"/>
      <c r="F491" s="213">
        <f t="shared" si="8"/>
        <v>0</v>
      </c>
      <c r="G491" s="208"/>
      <c r="H491" s="208"/>
    </row>
    <row r="492" spans="1:8" ht="13.5" customHeight="1" x14ac:dyDescent="0.25">
      <c r="A492" s="211" t="s">
        <v>1356</v>
      </c>
      <c r="B492" s="211" t="s">
        <v>1172</v>
      </c>
      <c r="C492" s="211" t="s">
        <v>1200</v>
      </c>
      <c r="D492" s="213">
        <v>3.8</v>
      </c>
      <c r="E492" s="218"/>
      <c r="F492" s="213">
        <f t="shared" si="8"/>
        <v>0</v>
      </c>
      <c r="G492" s="208"/>
      <c r="H492" s="208"/>
    </row>
    <row r="493" spans="1:8" ht="13.5" customHeight="1" x14ac:dyDescent="0.25">
      <c r="A493" s="212" t="s">
        <v>1357</v>
      </c>
      <c r="B493" s="214"/>
      <c r="C493" s="211" t="s">
        <v>1358</v>
      </c>
      <c r="D493" s="213">
        <v>44.6</v>
      </c>
      <c r="E493" s="218">
        <v>0</v>
      </c>
      <c r="F493" s="213">
        <f t="shared" si="8"/>
        <v>0</v>
      </c>
      <c r="G493" s="208" t="s">
        <v>767</v>
      </c>
      <c r="H493" s="208"/>
    </row>
    <row r="494" spans="1:8" ht="15.75" customHeight="1" x14ac:dyDescent="0.25">
      <c r="A494" s="211" t="s">
        <v>1359</v>
      </c>
      <c r="B494" s="211" t="s">
        <v>1172</v>
      </c>
      <c r="C494" s="211" t="s">
        <v>1218</v>
      </c>
      <c r="D494" s="213">
        <v>8</v>
      </c>
      <c r="E494" s="218"/>
      <c r="F494" s="213">
        <f t="shared" si="8"/>
        <v>0</v>
      </c>
      <c r="G494" s="207" t="s">
        <v>778</v>
      </c>
      <c r="H494" s="208"/>
    </row>
    <row r="495" spans="1:8" ht="13.5" customHeight="1" x14ac:dyDescent="0.25">
      <c r="A495" s="211" t="s">
        <v>1360</v>
      </c>
      <c r="B495" s="211" t="s">
        <v>1172</v>
      </c>
      <c r="C495" s="211" t="s">
        <v>1218</v>
      </c>
      <c r="D495" s="213">
        <v>7.5</v>
      </c>
      <c r="E495" s="218"/>
      <c r="F495" s="213">
        <f t="shared" si="8"/>
        <v>0</v>
      </c>
      <c r="G495" s="208"/>
      <c r="H495" s="208"/>
    </row>
    <row r="496" spans="1:8" ht="13.5" customHeight="1" x14ac:dyDescent="0.25">
      <c r="A496" s="212" t="s">
        <v>1361</v>
      </c>
      <c r="B496" s="214"/>
      <c r="C496" s="214"/>
      <c r="D496" s="213">
        <v>8</v>
      </c>
      <c r="E496" s="218"/>
      <c r="F496" s="213">
        <f t="shared" si="8"/>
        <v>0</v>
      </c>
      <c r="G496" s="207" t="s">
        <v>778</v>
      </c>
      <c r="H496" s="208"/>
    </row>
    <row r="497" spans="1:8" ht="13.5" customHeight="1" x14ac:dyDescent="0.25">
      <c r="A497" s="211" t="s">
        <v>1362</v>
      </c>
      <c r="B497" s="211" t="s">
        <v>1172</v>
      </c>
      <c r="C497" s="211" t="s">
        <v>1190</v>
      </c>
      <c r="D497" s="213">
        <v>12.98</v>
      </c>
      <c r="E497" s="218"/>
      <c r="F497" s="213">
        <f t="shared" si="8"/>
        <v>0</v>
      </c>
      <c r="G497" s="208" t="s">
        <v>778</v>
      </c>
      <c r="H497" s="208"/>
    </row>
    <row r="498" spans="1:8" ht="15.75" customHeight="1" x14ac:dyDescent="0.25">
      <c r="A498" s="211" t="s">
        <v>1363</v>
      </c>
      <c r="B498" s="211" t="s">
        <v>1172</v>
      </c>
      <c r="C498" s="211" t="s">
        <v>1190</v>
      </c>
      <c r="D498" s="213">
        <v>2.4</v>
      </c>
      <c r="E498" s="218"/>
      <c r="F498" s="213">
        <f t="shared" si="8"/>
        <v>0</v>
      </c>
      <c r="G498" s="211" t="s">
        <v>767</v>
      </c>
      <c r="H498" s="208"/>
    </row>
    <row r="499" spans="1:8" ht="15.75" customHeight="1" x14ac:dyDescent="0.25">
      <c r="A499" s="211" t="s">
        <v>1364</v>
      </c>
      <c r="B499" s="211" t="s">
        <v>1172</v>
      </c>
      <c r="C499" s="211" t="s">
        <v>1190</v>
      </c>
      <c r="D499" s="213">
        <v>7.5</v>
      </c>
      <c r="E499" s="218"/>
      <c r="F499" s="213">
        <f t="shared" si="8"/>
        <v>0</v>
      </c>
      <c r="G499" s="207" t="s">
        <v>767</v>
      </c>
      <c r="H499" s="208"/>
    </row>
    <row r="500" spans="1:8" ht="15.75" customHeight="1" x14ac:dyDescent="0.25">
      <c r="A500" s="212" t="s">
        <v>1365</v>
      </c>
      <c r="B500" s="214"/>
      <c r="C500" s="214"/>
      <c r="D500" s="213">
        <v>7.9</v>
      </c>
      <c r="E500" s="218">
        <v>1.2</v>
      </c>
      <c r="F500" s="213">
        <f t="shared" si="8"/>
        <v>9.48</v>
      </c>
      <c r="G500" s="211" t="s">
        <v>767</v>
      </c>
      <c r="H500" s="208"/>
    </row>
    <row r="501" spans="1:8" ht="13.5" customHeight="1" x14ac:dyDescent="0.25">
      <c r="A501" s="212" t="s">
        <v>1366</v>
      </c>
      <c r="B501" s="214"/>
      <c r="C501" s="211" t="s">
        <v>1255</v>
      </c>
      <c r="D501" s="213">
        <v>2.7</v>
      </c>
      <c r="E501" s="218"/>
      <c r="F501" s="213">
        <f t="shared" si="8"/>
        <v>0</v>
      </c>
      <c r="G501" s="211" t="s">
        <v>767</v>
      </c>
      <c r="H501" s="208"/>
    </row>
    <row r="502" spans="1:8" ht="13.5" customHeight="1" x14ac:dyDescent="0.25">
      <c r="A502" s="212" t="s">
        <v>1367</v>
      </c>
      <c r="B502" s="214"/>
      <c r="C502" s="211" t="s">
        <v>1182</v>
      </c>
      <c r="D502" s="213">
        <v>2.1</v>
      </c>
      <c r="E502" s="218"/>
      <c r="F502" s="213">
        <f t="shared" si="8"/>
        <v>0</v>
      </c>
      <c r="G502" s="207" t="s">
        <v>767</v>
      </c>
      <c r="H502" s="208"/>
    </row>
    <row r="503" spans="1:8" ht="13.5" customHeight="1" x14ac:dyDescent="0.25">
      <c r="A503" s="211" t="s">
        <v>1368</v>
      </c>
      <c r="B503" s="211" t="s">
        <v>1172</v>
      </c>
      <c r="C503" s="211" t="s">
        <v>1182</v>
      </c>
      <c r="D503" s="213">
        <v>4</v>
      </c>
      <c r="E503" s="218">
        <v>0</v>
      </c>
      <c r="F503" s="213">
        <f t="shared" si="8"/>
        <v>0</v>
      </c>
      <c r="G503" s="211" t="s">
        <v>767</v>
      </c>
      <c r="H503" s="208"/>
    </row>
    <row r="504" spans="1:8" ht="13.5" customHeight="1" x14ac:dyDescent="0.25">
      <c r="A504" s="211" t="s">
        <v>1369</v>
      </c>
      <c r="B504" s="211" t="s">
        <v>1172</v>
      </c>
      <c r="C504" s="211" t="s">
        <v>1370</v>
      </c>
      <c r="D504" s="213">
        <v>2</v>
      </c>
      <c r="E504" s="218"/>
      <c r="F504" s="213">
        <f t="shared" si="8"/>
        <v>0</v>
      </c>
      <c r="G504" s="208"/>
      <c r="H504" s="208"/>
    </row>
    <row r="505" spans="1:8" ht="13.5" customHeight="1" x14ac:dyDescent="0.25">
      <c r="A505" s="211" t="s">
        <v>1371</v>
      </c>
      <c r="B505" s="211" t="s">
        <v>1172</v>
      </c>
      <c r="C505" s="214"/>
      <c r="D505" s="213">
        <v>7.5</v>
      </c>
      <c r="E505" s="218"/>
      <c r="F505" s="213">
        <f t="shared" si="8"/>
        <v>0</v>
      </c>
      <c r="G505" s="207" t="s">
        <v>778</v>
      </c>
      <c r="H505" s="208"/>
    </row>
    <row r="506" spans="1:8" ht="13.5" customHeight="1" x14ac:dyDescent="0.25">
      <c r="A506" s="211" t="s">
        <v>1372</v>
      </c>
      <c r="B506" s="211" t="s">
        <v>1172</v>
      </c>
      <c r="C506" s="211" t="s">
        <v>1182</v>
      </c>
      <c r="D506" s="213">
        <v>6.99</v>
      </c>
      <c r="E506" s="218"/>
      <c r="F506" s="213">
        <f t="shared" si="8"/>
        <v>0</v>
      </c>
      <c r="G506" s="207" t="s">
        <v>778</v>
      </c>
      <c r="H506" s="208"/>
    </row>
    <row r="507" spans="1:8" ht="13.5" customHeight="1" x14ac:dyDescent="0.25">
      <c r="A507" s="211" t="s">
        <v>1373</v>
      </c>
      <c r="B507" s="211" t="s">
        <v>1172</v>
      </c>
      <c r="C507" s="214"/>
      <c r="D507" s="213">
        <v>3</v>
      </c>
      <c r="E507" s="218">
        <v>1</v>
      </c>
      <c r="F507" s="213">
        <f t="shared" si="8"/>
        <v>3</v>
      </c>
      <c r="G507" s="211" t="s">
        <v>767</v>
      </c>
      <c r="H507" s="208"/>
    </row>
    <row r="508" spans="1:8" ht="13.5" customHeight="1" x14ac:dyDescent="0.25">
      <c r="A508" s="211" t="s">
        <v>1374</v>
      </c>
      <c r="B508" s="211"/>
      <c r="C508" s="211" t="s">
        <v>1375</v>
      </c>
      <c r="D508" s="213">
        <v>3</v>
      </c>
      <c r="E508" s="218">
        <v>4</v>
      </c>
      <c r="F508" s="213">
        <f t="shared" si="8"/>
        <v>12</v>
      </c>
      <c r="G508" s="211" t="s">
        <v>767</v>
      </c>
      <c r="H508" s="208"/>
    </row>
    <row r="509" spans="1:8" ht="13.5" customHeight="1" x14ac:dyDescent="0.25">
      <c r="A509" s="211" t="s">
        <v>1376</v>
      </c>
      <c r="B509" s="211"/>
      <c r="C509" s="211"/>
      <c r="D509" s="213">
        <v>3.3</v>
      </c>
      <c r="E509" s="218">
        <v>0</v>
      </c>
      <c r="F509" s="213">
        <f>D509:D509*E509:E509</f>
        <v>0</v>
      </c>
      <c r="G509" s="211" t="s">
        <v>767</v>
      </c>
      <c r="H509" s="208"/>
    </row>
    <row r="510" spans="1:8" ht="13.5" customHeight="1" x14ac:dyDescent="0.25">
      <c r="A510" s="211" t="s">
        <v>1377</v>
      </c>
      <c r="B510" s="211" t="s">
        <v>1172</v>
      </c>
      <c r="C510" s="211" t="s">
        <v>1190</v>
      </c>
      <c r="D510" s="213">
        <v>4</v>
      </c>
      <c r="E510" s="218"/>
      <c r="F510" s="213">
        <f t="shared" si="8"/>
        <v>0</v>
      </c>
      <c r="G510" s="208"/>
      <c r="H510" s="208"/>
    </row>
    <row r="511" spans="1:8" ht="15.75" customHeight="1" x14ac:dyDescent="0.25">
      <c r="A511" s="211" t="s">
        <v>1378</v>
      </c>
      <c r="B511" s="211" t="s">
        <v>1172</v>
      </c>
      <c r="C511" s="211" t="s">
        <v>1190</v>
      </c>
      <c r="D511" s="213">
        <v>17.399999999999999</v>
      </c>
      <c r="E511" s="218">
        <v>3</v>
      </c>
      <c r="F511" s="213">
        <f t="shared" si="8"/>
        <v>52.199999999999996</v>
      </c>
      <c r="G511" s="211" t="s">
        <v>767</v>
      </c>
      <c r="H511" s="208"/>
    </row>
    <row r="512" spans="1:8" ht="15.75" customHeight="1" x14ac:dyDescent="0.25">
      <c r="A512" s="211" t="s">
        <v>1379</v>
      </c>
      <c r="B512" s="211" t="s">
        <v>1172</v>
      </c>
      <c r="C512" s="211" t="s">
        <v>1218</v>
      </c>
      <c r="D512" s="213">
        <v>6.2</v>
      </c>
      <c r="E512" s="218">
        <v>0</v>
      </c>
      <c r="F512" s="213">
        <f t="shared" si="8"/>
        <v>0</v>
      </c>
      <c r="G512" s="208"/>
      <c r="H512" s="208"/>
    </row>
    <row r="513" spans="1:8" ht="15.75" customHeight="1" x14ac:dyDescent="0.25">
      <c r="A513" s="212" t="s">
        <v>1380</v>
      </c>
      <c r="B513" s="214"/>
      <c r="C513" s="211" t="s">
        <v>1182</v>
      </c>
      <c r="D513" s="213">
        <v>6.6</v>
      </c>
      <c r="E513" s="218"/>
      <c r="F513" s="213">
        <f t="shared" si="8"/>
        <v>0</v>
      </c>
      <c r="G513" s="208"/>
      <c r="H513" s="208"/>
    </row>
    <row r="514" spans="1:8" ht="13.5" customHeight="1" x14ac:dyDescent="0.25">
      <c r="A514" s="212" t="s">
        <v>1381</v>
      </c>
      <c r="B514" s="214"/>
      <c r="C514" s="211" t="s">
        <v>1195</v>
      </c>
      <c r="D514" s="213">
        <v>35</v>
      </c>
      <c r="E514" s="218"/>
      <c r="F514" s="213">
        <f t="shared" si="8"/>
        <v>0</v>
      </c>
      <c r="G514" s="208"/>
      <c r="H514" s="208"/>
    </row>
    <row r="515" spans="1:8" ht="13.5" customHeight="1" x14ac:dyDescent="0.25">
      <c r="A515" s="212" t="s">
        <v>1381</v>
      </c>
      <c r="B515" s="214"/>
      <c r="C515" s="211" t="s">
        <v>1182</v>
      </c>
      <c r="D515" s="213"/>
      <c r="E515" s="218"/>
      <c r="F515" s="213">
        <f t="shared" si="8"/>
        <v>0</v>
      </c>
      <c r="G515" s="208"/>
      <c r="H515" s="208"/>
    </row>
    <row r="516" spans="1:8" ht="15.75" customHeight="1" x14ac:dyDescent="0.25">
      <c r="A516" s="211" t="s">
        <v>1382</v>
      </c>
      <c r="B516" s="211" t="s">
        <v>1172</v>
      </c>
      <c r="C516" s="211" t="s">
        <v>1218</v>
      </c>
      <c r="D516" s="213">
        <v>5.0999999999999996</v>
      </c>
      <c r="E516" s="218"/>
      <c r="F516" s="213">
        <f t="shared" si="8"/>
        <v>0</v>
      </c>
      <c r="G516" s="208"/>
      <c r="H516" s="208"/>
    </row>
    <row r="517" spans="1:8" ht="13.5" customHeight="1" x14ac:dyDescent="0.25">
      <c r="A517" s="211" t="s">
        <v>1383</v>
      </c>
      <c r="B517" s="211" t="s">
        <v>1172</v>
      </c>
      <c r="C517" s="211" t="s">
        <v>711</v>
      </c>
      <c r="D517" s="213">
        <v>4.2</v>
      </c>
      <c r="E517" s="218"/>
      <c r="F517" s="213">
        <f t="shared" si="8"/>
        <v>0</v>
      </c>
      <c r="G517" s="207" t="s">
        <v>778</v>
      </c>
      <c r="H517" s="208"/>
    </row>
    <row r="518" spans="1:8" ht="15.75" customHeight="1" x14ac:dyDescent="0.25">
      <c r="A518" s="212" t="s">
        <v>1384</v>
      </c>
      <c r="B518" s="214"/>
      <c r="C518" s="211" t="s">
        <v>1188</v>
      </c>
      <c r="D518" s="213">
        <v>35</v>
      </c>
      <c r="E518" s="218"/>
      <c r="F518" s="213">
        <f t="shared" si="8"/>
        <v>0</v>
      </c>
      <c r="G518" s="208"/>
      <c r="H518" s="208"/>
    </row>
    <row r="519" spans="1:8" ht="13.5" customHeight="1" x14ac:dyDescent="0.25">
      <c r="A519" s="211" t="s">
        <v>1385</v>
      </c>
      <c r="B519" s="211" t="s">
        <v>1172</v>
      </c>
      <c r="C519" s="211" t="s">
        <v>1190</v>
      </c>
      <c r="D519" s="213">
        <v>4</v>
      </c>
      <c r="E519" s="218"/>
      <c r="F519" s="213">
        <f t="shared" si="8"/>
        <v>0</v>
      </c>
      <c r="G519" s="207" t="s">
        <v>778</v>
      </c>
      <c r="H519" s="208"/>
    </row>
    <row r="520" spans="1:8" ht="15.75" customHeight="1" x14ac:dyDescent="0.25">
      <c r="A520" s="212" t="s">
        <v>1386</v>
      </c>
      <c r="B520" s="214"/>
      <c r="C520" s="214"/>
      <c r="D520" s="213">
        <v>17.2</v>
      </c>
      <c r="E520" s="218"/>
      <c r="F520" s="213">
        <f t="shared" si="8"/>
        <v>0</v>
      </c>
      <c r="G520" s="207"/>
      <c r="H520" s="208"/>
    </row>
    <row r="521" spans="1:8" ht="15.75" customHeight="1" x14ac:dyDescent="0.25">
      <c r="A521" s="211" t="s">
        <v>1387</v>
      </c>
      <c r="B521" s="211" t="s">
        <v>1172</v>
      </c>
      <c r="C521" s="211" t="s">
        <v>958</v>
      </c>
      <c r="D521" s="213">
        <v>5.0999999999999996</v>
      </c>
      <c r="E521" s="218">
        <v>4</v>
      </c>
      <c r="F521" s="213">
        <f t="shared" si="8"/>
        <v>20.399999999999999</v>
      </c>
      <c r="G521" s="211" t="s">
        <v>767</v>
      </c>
      <c r="H521" s="208"/>
    </row>
    <row r="522" spans="1:8" ht="13.5" customHeight="1" x14ac:dyDescent="0.25">
      <c r="A522" s="212" t="s">
        <v>1388</v>
      </c>
      <c r="B522" s="214"/>
      <c r="C522" s="214"/>
      <c r="D522" s="213">
        <v>3.5</v>
      </c>
      <c r="E522" s="218">
        <v>0</v>
      </c>
      <c r="F522" s="213">
        <f t="shared" si="8"/>
        <v>0</v>
      </c>
      <c r="G522" s="208"/>
      <c r="H522" s="208"/>
    </row>
    <row r="523" spans="1:8" ht="13.5" customHeight="1" x14ac:dyDescent="0.25">
      <c r="A523" s="212" t="s">
        <v>1389</v>
      </c>
      <c r="B523" s="214"/>
      <c r="C523" s="214"/>
      <c r="D523" s="213">
        <v>7.6</v>
      </c>
      <c r="E523" s="218"/>
      <c r="F523" s="213">
        <f t="shared" si="8"/>
        <v>0</v>
      </c>
      <c r="G523" s="208"/>
      <c r="H523" s="208"/>
    </row>
    <row r="524" spans="1:8" ht="13.5" customHeight="1" x14ac:dyDescent="0.25">
      <c r="A524" s="211" t="s">
        <v>1390</v>
      </c>
      <c r="B524" s="211" t="s">
        <v>1172</v>
      </c>
      <c r="C524" s="211" t="s">
        <v>958</v>
      </c>
      <c r="D524" s="213">
        <v>5.5</v>
      </c>
      <c r="E524" s="218"/>
      <c r="F524" s="213">
        <f t="shared" si="8"/>
        <v>0</v>
      </c>
      <c r="G524" s="207" t="s">
        <v>778</v>
      </c>
      <c r="H524" s="208"/>
    </row>
    <row r="525" spans="1:8" ht="13.5" customHeight="1" x14ac:dyDescent="0.25">
      <c r="A525" s="211" t="s">
        <v>1391</v>
      </c>
      <c r="B525" s="211" t="s">
        <v>1172</v>
      </c>
      <c r="C525" s="211" t="s">
        <v>1176</v>
      </c>
      <c r="D525" s="213">
        <v>39.6</v>
      </c>
      <c r="E525" s="218"/>
      <c r="F525" s="213">
        <f t="shared" si="8"/>
        <v>0</v>
      </c>
      <c r="G525" s="208"/>
      <c r="H525" s="208"/>
    </row>
    <row r="526" spans="1:8" ht="13.5" customHeight="1" x14ac:dyDescent="0.25">
      <c r="A526" s="211" t="s">
        <v>1392</v>
      </c>
      <c r="B526" s="211" t="s">
        <v>1172</v>
      </c>
      <c r="C526" s="211" t="s">
        <v>1393</v>
      </c>
      <c r="D526" s="213">
        <v>61.9</v>
      </c>
      <c r="E526" s="218"/>
      <c r="F526" s="213">
        <f t="shared" si="8"/>
        <v>0</v>
      </c>
      <c r="G526" s="207" t="s">
        <v>778</v>
      </c>
      <c r="H526" s="208"/>
    </row>
    <row r="527" spans="1:8" ht="13.5" customHeight="1" x14ac:dyDescent="0.25">
      <c r="A527" s="211" t="s">
        <v>1394</v>
      </c>
      <c r="B527" s="211"/>
      <c r="C527" s="211" t="s">
        <v>1182</v>
      </c>
      <c r="D527" s="213">
        <v>3.5</v>
      </c>
      <c r="E527" s="218">
        <v>10</v>
      </c>
      <c r="F527" s="213">
        <f>D527:D527*E527:E527</f>
        <v>35</v>
      </c>
      <c r="G527" s="207" t="s">
        <v>767</v>
      </c>
      <c r="H527" s="208"/>
    </row>
    <row r="528" spans="1:8" ht="13.5" customHeight="1" x14ac:dyDescent="0.25">
      <c r="A528" s="211" t="s">
        <v>1395</v>
      </c>
      <c r="B528" s="211" t="s">
        <v>1172</v>
      </c>
      <c r="C528" s="211" t="s">
        <v>1190</v>
      </c>
      <c r="D528" s="213">
        <v>6.5</v>
      </c>
      <c r="E528" s="218"/>
      <c r="F528" s="213">
        <f t="shared" si="8"/>
        <v>0</v>
      </c>
      <c r="G528" s="208"/>
      <c r="H528" s="208"/>
    </row>
    <row r="529" spans="1:8" ht="15.75" customHeight="1" x14ac:dyDescent="0.25">
      <c r="A529" s="211" t="s">
        <v>1396</v>
      </c>
      <c r="B529" s="211" t="s">
        <v>1172</v>
      </c>
      <c r="C529" s="211" t="s">
        <v>1190</v>
      </c>
      <c r="D529" s="213">
        <v>4.0999999999999996</v>
      </c>
      <c r="E529" s="218">
        <v>1.5</v>
      </c>
      <c r="F529" s="213">
        <f t="shared" si="8"/>
        <v>6.1499999999999995</v>
      </c>
      <c r="G529" s="211" t="s">
        <v>767</v>
      </c>
      <c r="H529" s="208"/>
    </row>
    <row r="530" spans="1:8" ht="13.5" customHeight="1" x14ac:dyDescent="0.25">
      <c r="A530" s="211" t="s">
        <v>1397</v>
      </c>
      <c r="B530" s="211" t="s">
        <v>1172</v>
      </c>
      <c r="C530" s="211" t="s">
        <v>1190</v>
      </c>
      <c r="D530" s="213"/>
      <c r="E530" s="218"/>
      <c r="F530" s="213">
        <f t="shared" si="8"/>
        <v>0</v>
      </c>
      <c r="G530" s="207" t="s">
        <v>778</v>
      </c>
      <c r="H530" s="208"/>
    </row>
    <row r="531" spans="1:8" ht="13.5" customHeight="1" x14ac:dyDescent="0.25">
      <c r="A531" s="212" t="s">
        <v>1398</v>
      </c>
      <c r="B531" s="214"/>
      <c r="C531" s="211" t="s">
        <v>1182</v>
      </c>
      <c r="D531" s="213">
        <v>3.5</v>
      </c>
      <c r="E531" s="218"/>
      <c r="F531" s="213">
        <f t="shared" si="8"/>
        <v>0</v>
      </c>
      <c r="G531" s="207" t="s">
        <v>778</v>
      </c>
      <c r="H531" s="208"/>
    </row>
    <row r="532" spans="1:8" ht="13.5" customHeight="1" x14ac:dyDescent="0.25">
      <c r="A532" s="212" t="s">
        <v>1399</v>
      </c>
      <c r="B532" s="214"/>
      <c r="C532" s="211" t="s">
        <v>1182</v>
      </c>
      <c r="D532" s="213"/>
      <c r="E532" s="218"/>
      <c r="F532" s="213"/>
      <c r="G532" s="207" t="s">
        <v>767</v>
      </c>
      <c r="H532" s="208" t="s">
        <v>762</v>
      </c>
    </row>
    <row r="533" spans="1:8" ht="13.5" customHeight="1" x14ac:dyDescent="0.25">
      <c r="A533" s="211" t="s">
        <v>1400</v>
      </c>
      <c r="B533" s="211" t="s">
        <v>1172</v>
      </c>
      <c r="C533" s="211" t="s">
        <v>1218</v>
      </c>
      <c r="D533" s="213">
        <v>4.2</v>
      </c>
      <c r="E533" s="218">
        <v>11</v>
      </c>
      <c r="F533" s="213">
        <f t="shared" ref="F533:F600" si="9">D533:D533*E533:E533</f>
        <v>46.2</v>
      </c>
      <c r="G533" s="211" t="s">
        <v>767</v>
      </c>
      <c r="H533" s="208"/>
    </row>
    <row r="534" spans="1:8" ht="13.5" customHeight="1" x14ac:dyDescent="0.25">
      <c r="A534" s="211" t="s">
        <v>1401</v>
      </c>
      <c r="B534" s="211"/>
      <c r="C534" s="211" t="s">
        <v>711</v>
      </c>
      <c r="D534" s="213">
        <v>8</v>
      </c>
      <c r="E534" s="218"/>
      <c r="F534" s="213">
        <f t="shared" si="9"/>
        <v>0</v>
      </c>
      <c r="G534" s="207" t="s">
        <v>778</v>
      </c>
      <c r="H534" s="208"/>
    </row>
    <row r="535" spans="1:8" ht="15.75" customHeight="1" x14ac:dyDescent="0.25">
      <c r="A535" s="211" t="s">
        <v>1402</v>
      </c>
      <c r="B535" s="211" t="s">
        <v>1172</v>
      </c>
      <c r="C535" s="211" t="s">
        <v>1218</v>
      </c>
      <c r="D535" s="213">
        <v>12</v>
      </c>
      <c r="E535" s="218">
        <v>0</v>
      </c>
      <c r="F535" s="213">
        <f t="shared" si="9"/>
        <v>0</v>
      </c>
      <c r="G535" s="208" t="s">
        <v>778</v>
      </c>
      <c r="H535" s="208"/>
    </row>
    <row r="536" spans="1:8" ht="13.5" customHeight="1" x14ac:dyDescent="0.25">
      <c r="A536" s="211" t="s">
        <v>1403</v>
      </c>
      <c r="B536" s="211" t="s">
        <v>1172</v>
      </c>
      <c r="C536" s="211" t="s">
        <v>1255</v>
      </c>
      <c r="D536" s="213">
        <v>3</v>
      </c>
      <c r="E536" s="218">
        <v>3</v>
      </c>
      <c r="F536" s="213">
        <f t="shared" si="9"/>
        <v>9</v>
      </c>
      <c r="G536" s="211" t="s">
        <v>767</v>
      </c>
      <c r="H536" s="208"/>
    </row>
    <row r="537" spans="1:8" ht="13.5" customHeight="1" x14ac:dyDescent="0.25">
      <c r="A537" s="212" t="s">
        <v>1404</v>
      </c>
      <c r="B537" s="211" t="s">
        <v>1172</v>
      </c>
      <c r="C537" s="214"/>
      <c r="D537" s="213">
        <v>2.8</v>
      </c>
      <c r="E537" s="218">
        <v>0</v>
      </c>
      <c r="F537" s="213">
        <f t="shared" si="9"/>
        <v>0</v>
      </c>
      <c r="G537" s="214" t="s">
        <v>778</v>
      </c>
      <c r="H537" s="208"/>
    </row>
    <row r="538" spans="1:8" ht="13.5" customHeight="1" x14ac:dyDescent="0.25">
      <c r="A538" s="211" t="s">
        <v>1405</v>
      </c>
      <c r="B538" s="211" t="s">
        <v>1172</v>
      </c>
      <c r="C538" s="211" t="s">
        <v>1218</v>
      </c>
      <c r="D538" s="213">
        <v>5.7</v>
      </c>
      <c r="E538" s="218"/>
      <c r="F538" s="213">
        <f t="shared" si="9"/>
        <v>0</v>
      </c>
      <c r="G538" s="207" t="s">
        <v>778</v>
      </c>
      <c r="H538" s="208"/>
    </row>
    <row r="539" spans="1:8" ht="13.5" customHeight="1" x14ac:dyDescent="0.25">
      <c r="A539" s="211" t="s">
        <v>1406</v>
      </c>
      <c r="B539" s="211" t="s">
        <v>1172</v>
      </c>
      <c r="C539" s="211" t="s">
        <v>1200</v>
      </c>
      <c r="D539" s="213">
        <v>6</v>
      </c>
      <c r="E539" s="218"/>
      <c r="F539" s="213">
        <f t="shared" si="9"/>
        <v>0</v>
      </c>
      <c r="G539" s="207" t="s">
        <v>778</v>
      </c>
      <c r="H539" s="208"/>
    </row>
    <row r="540" spans="1:8" ht="15.75" customHeight="1" x14ac:dyDescent="0.25">
      <c r="A540" s="211" t="s">
        <v>1407</v>
      </c>
      <c r="B540" s="211" t="s">
        <v>1172</v>
      </c>
      <c r="C540" s="214"/>
      <c r="D540" s="213">
        <v>4.0999999999999996</v>
      </c>
      <c r="E540" s="218">
        <v>0</v>
      </c>
      <c r="F540" s="213">
        <f t="shared" si="9"/>
        <v>0</v>
      </c>
      <c r="G540" s="211" t="s">
        <v>767</v>
      </c>
      <c r="H540" s="208"/>
    </row>
    <row r="541" spans="1:8" ht="15.75" customHeight="1" x14ac:dyDescent="0.25">
      <c r="A541" s="211" t="s">
        <v>1408</v>
      </c>
      <c r="B541" s="211" t="s">
        <v>1172</v>
      </c>
      <c r="C541" s="211" t="s">
        <v>1290</v>
      </c>
      <c r="D541" s="213">
        <v>25.8</v>
      </c>
      <c r="E541" s="218">
        <v>0.5</v>
      </c>
      <c r="F541" s="213">
        <f t="shared" si="9"/>
        <v>12.9</v>
      </c>
      <c r="G541" s="211" t="s">
        <v>767</v>
      </c>
      <c r="H541" s="208"/>
    </row>
    <row r="542" spans="1:8" ht="15.75" customHeight="1" x14ac:dyDescent="0.25">
      <c r="A542" s="212" t="s">
        <v>1409</v>
      </c>
      <c r="B542" s="214"/>
      <c r="C542" s="214"/>
      <c r="D542" s="213">
        <v>7.5</v>
      </c>
      <c r="E542" s="218">
        <v>3</v>
      </c>
      <c r="F542" s="213">
        <f t="shared" si="9"/>
        <v>22.5</v>
      </c>
      <c r="G542" s="211" t="s">
        <v>767</v>
      </c>
      <c r="H542" s="208"/>
    </row>
    <row r="543" spans="1:8" ht="13.5" customHeight="1" x14ac:dyDescent="0.25">
      <c r="A543" s="212" t="s">
        <v>1410</v>
      </c>
      <c r="B543" s="214"/>
      <c r="C543" s="214"/>
      <c r="D543" s="213">
        <v>4</v>
      </c>
      <c r="E543" s="218"/>
      <c r="F543" s="213">
        <f t="shared" si="9"/>
        <v>0</v>
      </c>
      <c r="G543" s="208"/>
      <c r="H543" s="208"/>
    </row>
    <row r="544" spans="1:8" ht="13.5" customHeight="1" x14ac:dyDescent="0.25">
      <c r="A544" s="212" t="s">
        <v>1411</v>
      </c>
      <c r="B544" s="214"/>
      <c r="C544" s="214"/>
      <c r="D544" s="213">
        <v>4.8</v>
      </c>
      <c r="E544" s="218"/>
      <c r="F544" s="213">
        <f t="shared" si="9"/>
        <v>0</v>
      </c>
      <c r="G544" s="208" t="s">
        <v>767</v>
      </c>
      <c r="H544" s="208"/>
    </row>
    <row r="545" spans="1:8" ht="13.5" customHeight="1" x14ac:dyDescent="0.25">
      <c r="A545" s="211" t="s">
        <v>1412</v>
      </c>
      <c r="B545" s="211" t="s">
        <v>1172</v>
      </c>
      <c r="C545" s="211" t="s">
        <v>1182</v>
      </c>
      <c r="D545" s="213">
        <v>34.1</v>
      </c>
      <c r="E545" s="218"/>
      <c r="F545" s="213">
        <f t="shared" si="9"/>
        <v>0</v>
      </c>
      <c r="G545" s="207" t="s">
        <v>778</v>
      </c>
      <c r="H545" s="208"/>
    </row>
    <row r="546" spans="1:8" ht="13.5" customHeight="1" x14ac:dyDescent="0.25">
      <c r="A546" s="211" t="s">
        <v>1413</v>
      </c>
      <c r="B546" s="211" t="s">
        <v>1172</v>
      </c>
      <c r="C546" s="211" t="s">
        <v>1218</v>
      </c>
      <c r="D546" s="213">
        <v>5</v>
      </c>
      <c r="E546" s="218"/>
      <c r="F546" s="213">
        <f t="shared" si="9"/>
        <v>0</v>
      </c>
      <c r="G546" s="208"/>
      <c r="H546" s="208"/>
    </row>
    <row r="547" spans="1:8" ht="13.5" customHeight="1" x14ac:dyDescent="0.25">
      <c r="A547" s="211" t="s">
        <v>1414</v>
      </c>
      <c r="B547" s="211" t="s">
        <v>1172</v>
      </c>
      <c r="C547" s="211" t="s">
        <v>1190</v>
      </c>
      <c r="D547" s="213">
        <v>9</v>
      </c>
      <c r="E547" s="218">
        <v>5</v>
      </c>
      <c r="F547" s="213">
        <f t="shared" si="9"/>
        <v>45</v>
      </c>
      <c r="G547" s="211" t="s">
        <v>767</v>
      </c>
      <c r="H547" s="208"/>
    </row>
    <row r="548" spans="1:8" ht="13.5" customHeight="1" x14ac:dyDescent="0.25">
      <c r="A548" s="211" t="s">
        <v>1415</v>
      </c>
      <c r="B548" s="211" t="s">
        <v>1172</v>
      </c>
      <c r="C548" s="211" t="s">
        <v>939</v>
      </c>
      <c r="D548" s="213">
        <v>3.3</v>
      </c>
      <c r="E548" s="218">
        <v>0</v>
      </c>
      <c r="F548" s="213">
        <f t="shared" si="9"/>
        <v>0</v>
      </c>
      <c r="G548" s="207" t="s">
        <v>767</v>
      </c>
      <c r="H548" s="208"/>
    </row>
    <row r="549" spans="1:8" ht="13.5" customHeight="1" x14ac:dyDescent="0.25">
      <c r="A549" s="211" t="s">
        <v>1416</v>
      </c>
      <c r="B549" s="211" t="s">
        <v>1172</v>
      </c>
      <c r="C549" s="214"/>
      <c r="D549" s="213">
        <v>2.5</v>
      </c>
      <c r="E549" s="218"/>
      <c r="F549" s="213">
        <f t="shared" si="9"/>
        <v>0</v>
      </c>
      <c r="G549" s="208"/>
      <c r="H549" s="208"/>
    </row>
    <row r="550" spans="1:8" ht="13.5" customHeight="1" x14ac:dyDescent="0.25">
      <c r="A550" s="211" t="s">
        <v>1417</v>
      </c>
      <c r="B550" s="211" t="s">
        <v>1172</v>
      </c>
      <c r="C550" s="211" t="s">
        <v>1218</v>
      </c>
      <c r="D550" s="213">
        <v>2.8</v>
      </c>
      <c r="E550" s="218"/>
      <c r="F550" s="213">
        <f t="shared" si="9"/>
        <v>0</v>
      </c>
      <c r="G550" s="208"/>
      <c r="H550" s="208"/>
    </row>
    <row r="551" spans="1:8" ht="15.75" customHeight="1" x14ac:dyDescent="0.25">
      <c r="A551" s="211" t="s">
        <v>1418</v>
      </c>
      <c r="B551" s="211" t="s">
        <v>1172</v>
      </c>
      <c r="C551" s="211" t="s">
        <v>1218</v>
      </c>
      <c r="D551" s="213">
        <v>4.5</v>
      </c>
      <c r="E551" s="218"/>
      <c r="F551" s="213">
        <f t="shared" si="9"/>
        <v>0</v>
      </c>
      <c r="G551" s="208"/>
      <c r="H551" s="208"/>
    </row>
    <row r="552" spans="1:8" ht="15.75" customHeight="1" x14ac:dyDescent="0.25">
      <c r="A552" s="211" t="s">
        <v>1419</v>
      </c>
      <c r="B552" s="211" t="s">
        <v>1172</v>
      </c>
      <c r="C552" s="211" t="s">
        <v>1308</v>
      </c>
      <c r="D552" s="213">
        <v>3</v>
      </c>
      <c r="E552" s="218">
        <v>0.5</v>
      </c>
      <c r="F552" s="213">
        <f t="shared" si="9"/>
        <v>1.5</v>
      </c>
      <c r="G552" s="207" t="s">
        <v>767</v>
      </c>
      <c r="H552" s="208"/>
    </row>
    <row r="553" spans="1:8" ht="13.5" customHeight="1" x14ac:dyDescent="0.25">
      <c r="A553" s="212" t="s">
        <v>1420</v>
      </c>
      <c r="B553" s="214"/>
      <c r="C553" s="211" t="s">
        <v>1343</v>
      </c>
      <c r="D553" s="213">
        <v>24.8</v>
      </c>
      <c r="E553" s="218"/>
      <c r="F553" s="213">
        <f t="shared" si="9"/>
        <v>0</v>
      </c>
      <c r="G553" s="207" t="s">
        <v>767</v>
      </c>
      <c r="H553" s="208"/>
    </row>
    <row r="554" spans="1:8" ht="13.5" customHeight="1" x14ac:dyDescent="0.25">
      <c r="A554" s="212" t="s">
        <v>1421</v>
      </c>
      <c r="B554" s="214"/>
      <c r="C554" s="211" t="s">
        <v>1343</v>
      </c>
      <c r="D554" s="213">
        <v>22.5</v>
      </c>
      <c r="E554" s="218">
        <v>1</v>
      </c>
      <c r="F554" s="213">
        <f t="shared" si="9"/>
        <v>22.5</v>
      </c>
      <c r="G554" s="211" t="s">
        <v>767</v>
      </c>
      <c r="H554" s="208"/>
    </row>
    <row r="555" spans="1:8" ht="15.75" customHeight="1" x14ac:dyDescent="0.25">
      <c r="A555" s="211" t="s">
        <v>1422</v>
      </c>
      <c r="B555" s="211" t="s">
        <v>1172</v>
      </c>
      <c r="C555" s="211" t="s">
        <v>1218</v>
      </c>
      <c r="D555" s="213">
        <v>8</v>
      </c>
      <c r="E555" s="218">
        <v>4</v>
      </c>
      <c r="F555" s="213">
        <f t="shared" si="9"/>
        <v>32</v>
      </c>
      <c r="G555" s="211" t="s">
        <v>767</v>
      </c>
      <c r="H555" s="208"/>
    </row>
    <row r="556" spans="1:8" ht="13.5" customHeight="1" x14ac:dyDescent="0.25">
      <c r="A556" s="211" t="s">
        <v>1423</v>
      </c>
      <c r="B556" s="211"/>
      <c r="C556" s="211" t="s">
        <v>1375</v>
      </c>
      <c r="D556" s="213">
        <v>4.2</v>
      </c>
      <c r="E556" s="218"/>
      <c r="F556" s="213">
        <f>D556:D556*E556:E556</f>
        <v>0</v>
      </c>
      <c r="G556" s="207" t="s">
        <v>767</v>
      </c>
      <c r="H556" s="208"/>
    </row>
    <row r="557" spans="1:8" ht="13.5" customHeight="1" x14ac:dyDescent="0.25">
      <c r="A557" s="211" t="s">
        <v>1424</v>
      </c>
      <c r="B557" s="211"/>
      <c r="C557" s="211" t="s">
        <v>1220</v>
      </c>
      <c r="D557" s="213">
        <v>6</v>
      </c>
      <c r="E557" s="218">
        <v>0</v>
      </c>
      <c r="F557" s="213">
        <f>D557:D557*E557:E557</f>
        <v>0</v>
      </c>
      <c r="G557" s="207" t="s">
        <v>767</v>
      </c>
      <c r="H557" s="208"/>
    </row>
    <row r="558" spans="1:8" ht="15.75" customHeight="1" x14ac:dyDescent="0.25">
      <c r="A558" s="212" t="s">
        <v>1425</v>
      </c>
      <c r="B558" s="214"/>
      <c r="C558" s="211" t="s">
        <v>1195</v>
      </c>
      <c r="D558" s="213">
        <v>45</v>
      </c>
      <c r="E558" s="218">
        <v>0</v>
      </c>
      <c r="F558" s="213">
        <f t="shared" si="9"/>
        <v>0</v>
      </c>
      <c r="G558" s="208"/>
      <c r="H558" s="208"/>
    </row>
    <row r="559" spans="1:8" ht="13.5" customHeight="1" x14ac:dyDescent="0.25">
      <c r="A559" s="211" t="s">
        <v>1426</v>
      </c>
      <c r="B559" s="211" t="s">
        <v>1172</v>
      </c>
      <c r="C559" s="211" t="s">
        <v>1190</v>
      </c>
      <c r="D559" s="213">
        <v>12</v>
      </c>
      <c r="E559" s="218"/>
      <c r="F559" s="213">
        <f t="shared" si="9"/>
        <v>0</v>
      </c>
      <c r="G559" s="207" t="s">
        <v>778</v>
      </c>
      <c r="H559" s="208"/>
    </row>
    <row r="560" spans="1:8" ht="13.5" customHeight="1" x14ac:dyDescent="0.25">
      <c r="A560" s="212" t="s">
        <v>1427</v>
      </c>
      <c r="B560" s="214"/>
      <c r="C560" s="211" t="s">
        <v>699</v>
      </c>
      <c r="D560" s="213">
        <v>37.200000000000003</v>
      </c>
      <c r="E560" s="218">
        <v>0</v>
      </c>
      <c r="F560" s="213">
        <f t="shared" si="9"/>
        <v>0</v>
      </c>
      <c r="G560" s="207" t="s">
        <v>767</v>
      </c>
      <c r="H560" s="208"/>
    </row>
    <row r="561" spans="1:8" ht="13.5" customHeight="1" x14ac:dyDescent="0.25">
      <c r="A561" s="211" t="s">
        <v>1428</v>
      </c>
      <c r="B561" s="211" t="s">
        <v>1172</v>
      </c>
      <c r="C561" s="211" t="s">
        <v>1182</v>
      </c>
      <c r="D561" s="213">
        <v>7.5</v>
      </c>
      <c r="E561" s="218">
        <v>1.5</v>
      </c>
      <c r="F561" s="213">
        <f t="shared" si="9"/>
        <v>11.25</v>
      </c>
      <c r="G561" s="211" t="s">
        <v>767</v>
      </c>
      <c r="H561" s="208"/>
    </row>
    <row r="562" spans="1:8" ht="13.5" customHeight="1" x14ac:dyDescent="0.25">
      <c r="A562" s="211" t="s">
        <v>1429</v>
      </c>
      <c r="B562" s="211" t="s">
        <v>1172</v>
      </c>
      <c r="C562" s="211" t="s">
        <v>939</v>
      </c>
      <c r="D562" s="213">
        <v>3.7</v>
      </c>
      <c r="E562" s="218">
        <v>0</v>
      </c>
      <c r="F562" s="213">
        <f t="shared" si="9"/>
        <v>0</v>
      </c>
      <c r="G562" s="208" t="s">
        <v>767</v>
      </c>
      <c r="H562" s="208"/>
    </row>
    <row r="563" spans="1:8" ht="13.5" customHeight="1" x14ac:dyDescent="0.25">
      <c r="A563" s="211" t="s">
        <v>1430</v>
      </c>
      <c r="B563" s="211" t="s">
        <v>1172</v>
      </c>
      <c r="C563" s="211" t="s">
        <v>1190</v>
      </c>
      <c r="D563" s="213"/>
      <c r="E563" s="218"/>
      <c r="F563" s="213">
        <f t="shared" si="9"/>
        <v>0</v>
      </c>
      <c r="G563" s="208"/>
      <c r="H563" s="208"/>
    </row>
    <row r="564" spans="1:8" ht="15.75" customHeight="1" x14ac:dyDescent="0.25">
      <c r="A564" s="211" t="s">
        <v>1431</v>
      </c>
      <c r="B564" s="211" t="s">
        <v>1172</v>
      </c>
      <c r="C564" s="211" t="s">
        <v>1375</v>
      </c>
      <c r="D564" s="213">
        <v>1.5</v>
      </c>
      <c r="E564" s="218"/>
      <c r="F564" s="213">
        <f t="shared" si="9"/>
        <v>0</v>
      </c>
      <c r="G564" s="207" t="s">
        <v>778</v>
      </c>
      <c r="H564" s="208"/>
    </row>
    <row r="565" spans="1:8" ht="13.5" customHeight="1" x14ac:dyDescent="0.25">
      <c r="A565" s="211" t="s">
        <v>1432</v>
      </c>
      <c r="B565" s="211" t="s">
        <v>1172</v>
      </c>
      <c r="C565" s="211" t="s">
        <v>1218</v>
      </c>
      <c r="D565" s="213"/>
      <c r="E565" s="218"/>
      <c r="F565" s="213">
        <f t="shared" si="9"/>
        <v>0</v>
      </c>
      <c r="G565" s="208"/>
      <c r="H565" s="208"/>
    </row>
    <row r="566" spans="1:8" ht="13.5" customHeight="1" x14ac:dyDescent="0.25">
      <c r="A566" s="212" t="s">
        <v>1433</v>
      </c>
      <c r="B566" s="214"/>
      <c r="C566" s="214"/>
      <c r="D566" s="213">
        <v>4</v>
      </c>
      <c r="E566" s="218">
        <v>0</v>
      </c>
      <c r="F566" s="213">
        <f t="shared" si="9"/>
        <v>0</v>
      </c>
      <c r="G566" s="211" t="s">
        <v>767</v>
      </c>
      <c r="H566" s="208"/>
    </row>
    <row r="567" spans="1:8" ht="13.5" customHeight="1" x14ac:dyDescent="0.25">
      <c r="A567" s="211" t="s">
        <v>1434</v>
      </c>
      <c r="B567" s="211" t="s">
        <v>1172</v>
      </c>
      <c r="C567" s="211" t="s">
        <v>1218</v>
      </c>
      <c r="D567" s="213">
        <v>3.1</v>
      </c>
      <c r="E567" s="218"/>
      <c r="F567" s="213">
        <f t="shared" si="9"/>
        <v>0</v>
      </c>
      <c r="G567" s="208"/>
      <c r="H567" s="208"/>
    </row>
    <row r="568" spans="1:8" ht="15.75" customHeight="1" x14ac:dyDescent="0.25">
      <c r="A568" s="211" t="s">
        <v>1435</v>
      </c>
      <c r="B568" s="211" t="s">
        <v>1172</v>
      </c>
      <c r="C568" s="211" t="s">
        <v>1218</v>
      </c>
      <c r="D568" s="213">
        <v>5</v>
      </c>
      <c r="E568" s="218">
        <v>5</v>
      </c>
      <c r="F568" s="213">
        <f t="shared" si="9"/>
        <v>25</v>
      </c>
      <c r="G568" s="211" t="s">
        <v>767</v>
      </c>
      <c r="H568" s="208"/>
    </row>
    <row r="569" spans="1:8" ht="15.75" customHeight="1" x14ac:dyDescent="0.25">
      <c r="A569" s="211" t="s">
        <v>1436</v>
      </c>
      <c r="B569" s="211" t="s">
        <v>1172</v>
      </c>
      <c r="C569" s="211" t="s">
        <v>1437</v>
      </c>
      <c r="D569" s="213">
        <v>10</v>
      </c>
      <c r="E569" s="218">
        <v>0</v>
      </c>
      <c r="F569" s="213">
        <f t="shared" si="9"/>
        <v>0</v>
      </c>
      <c r="G569" s="207"/>
      <c r="H569" s="208"/>
    </row>
    <row r="570" spans="1:8" ht="15.75" customHeight="1" x14ac:dyDescent="0.25">
      <c r="A570" s="212" t="s">
        <v>1438</v>
      </c>
      <c r="B570" s="214"/>
      <c r="C570" s="214"/>
      <c r="D570" s="213">
        <v>6.5</v>
      </c>
      <c r="E570" s="218"/>
      <c r="F570" s="213">
        <f t="shared" si="9"/>
        <v>0</v>
      </c>
      <c r="G570" s="208"/>
      <c r="H570" s="208"/>
    </row>
    <row r="571" spans="1:8" ht="15.75" customHeight="1" x14ac:dyDescent="0.25">
      <c r="A571" s="212" t="s">
        <v>1439</v>
      </c>
      <c r="B571" s="214"/>
      <c r="C571" s="211" t="s">
        <v>1182</v>
      </c>
      <c r="D571" s="213">
        <v>6</v>
      </c>
      <c r="E571" s="218">
        <v>10</v>
      </c>
      <c r="F571" s="213">
        <f t="shared" si="9"/>
        <v>60</v>
      </c>
      <c r="G571" s="208"/>
      <c r="H571" s="208"/>
    </row>
    <row r="572" spans="1:8" ht="15.75" customHeight="1" x14ac:dyDescent="0.25">
      <c r="A572" s="212" t="s">
        <v>1440</v>
      </c>
      <c r="B572" s="214"/>
      <c r="C572" s="214"/>
      <c r="D572" s="213">
        <v>5</v>
      </c>
      <c r="E572" s="218"/>
      <c r="F572" s="213">
        <f t="shared" si="9"/>
        <v>0</v>
      </c>
      <c r="G572" s="207" t="s">
        <v>778</v>
      </c>
      <c r="H572" s="208"/>
    </row>
    <row r="573" spans="1:8" ht="15.75" customHeight="1" x14ac:dyDescent="0.25">
      <c r="A573" s="212" t="s">
        <v>1441</v>
      </c>
      <c r="B573" s="214"/>
      <c r="C573" s="211" t="s">
        <v>1182</v>
      </c>
      <c r="D573" s="213">
        <v>10</v>
      </c>
      <c r="E573" s="218">
        <v>0</v>
      </c>
      <c r="F573" s="213">
        <f t="shared" si="9"/>
        <v>0</v>
      </c>
      <c r="G573" s="211" t="s">
        <v>778</v>
      </c>
      <c r="H573" s="208"/>
    </row>
    <row r="574" spans="1:8" ht="13.5" customHeight="1" x14ac:dyDescent="0.25">
      <c r="A574" s="212" t="s">
        <v>1442</v>
      </c>
      <c r="B574" s="214"/>
      <c r="C574" s="214" t="s">
        <v>1182</v>
      </c>
      <c r="D574" s="213">
        <v>15</v>
      </c>
      <c r="E574" s="218">
        <v>0</v>
      </c>
      <c r="F574" s="213">
        <f t="shared" si="9"/>
        <v>0</v>
      </c>
      <c r="G574" s="207" t="s">
        <v>778</v>
      </c>
      <c r="H574" s="208"/>
    </row>
    <row r="575" spans="1:8" ht="13.5" customHeight="1" x14ac:dyDescent="0.25">
      <c r="A575" s="212" t="s">
        <v>1443</v>
      </c>
      <c r="B575" s="214"/>
      <c r="C575" s="214" t="s">
        <v>1444</v>
      </c>
      <c r="D575" s="213"/>
      <c r="E575" s="218">
        <v>0</v>
      </c>
      <c r="F575" s="213">
        <f>D575:D575*E575:E575</f>
        <v>0</v>
      </c>
      <c r="G575" s="207" t="s">
        <v>778</v>
      </c>
      <c r="H575" s="208"/>
    </row>
    <row r="576" spans="1:8" ht="15.75" customHeight="1" x14ac:dyDescent="0.25">
      <c r="A576" s="212" t="s">
        <v>1445</v>
      </c>
      <c r="B576" s="214"/>
      <c r="C576" s="214"/>
      <c r="D576" s="213">
        <v>7.26</v>
      </c>
      <c r="E576" s="218">
        <v>20</v>
      </c>
      <c r="F576" s="213">
        <f t="shared" si="9"/>
        <v>145.19999999999999</v>
      </c>
      <c r="G576" s="208" t="s">
        <v>778</v>
      </c>
      <c r="H576" s="208"/>
    </row>
    <row r="577" spans="1:8" ht="13.5" customHeight="1" x14ac:dyDescent="0.25">
      <c r="A577" s="211" t="s">
        <v>1446</v>
      </c>
      <c r="B577" s="211" t="s">
        <v>1172</v>
      </c>
      <c r="C577" s="211" t="s">
        <v>1188</v>
      </c>
      <c r="D577" s="213">
        <v>27.8</v>
      </c>
      <c r="E577" s="218"/>
      <c r="F577" s="213">
        <f t="shared" si="9"/>
        <v>0</v>
      </c>
      <c r="G577" s="211" t="s">
        <v>767</v>
      </c>
      <c r="H577" s="208"/>
    </row>
    <row r="578" spans="1:8" ht="13.5" customHeight="1" x14ac:dyDescent="0.25">
      <c r="A578" s="212" t="s">
        <v>1447</v>
      </c>
      <c r="B578" s="214"/>
      <c r="C578" s="211" t="s">
        <v>1182</v>
      </c>
      <c r="D578" s="213">
        <v>12</v>
      </c>
      <c r="E578" s="218"/>
      <c r="F578" s="213">
        <f t="shared" si="9"/>
        <v>0</v>
      </c>
      <c r="G578" s="208"/>
      <c r="H578" s="208"/>
    </row>
    <row r="579" spans="1:8" ht="13.5" customHeight="1" x14ac:dyDescent="0.25">
      <c r="A579" s="211" t="s">
        <v>1448</v>
      </c>
      <c r="B579" s="211" t="s">
        <v>1172</v>
      </c>
      <c r="C579" s="211" t="s">
        <v>1190</v>
      </c>
      <c r="D579" s="213">
        <v>28.4</v>
      </c>
      <c r="E579" s="218"/>
      <c r="F579" s="213">
        <f t="shared" si="9"/>
        <v>0</v>
      </c>
      <c r="G579" s="208"/>
      <c r="H579" s="208"/>
    </row>
    <row r="580" spans="1:8" ht="15.75" customHeight="1" x14ac:dyDescent="0.25">
      <c r="A580" s="211" t="s">
        <v>1449</v>
      </c>
      <c r="B580" s="211" t="s">
        <v>1172</v>
      </c>
      <c r="C580" s="211" t="s">
        <v>1450</v>
      </c>
      <c r="D580" s="213">
        <v>3.5</v>
      </c>
      <c r="E580" s="218"/>
      <c r="F580" s="213">
        <f t="shared" si="9"/>
        <v>0</v>
      </c>
      <c r="G580" s="207" t="s">
        <v>767</v>
      </c>
      <c r="H580" s="208"/>
    </row>
    <row r="581" spans="1:8" ht="15.75" customHeight="1" x14ac:dyDescent="0.25">
      <c r="A581" s="211" t="s">
        <v>1451</v>
      </c>
      <c r="B581" s="211" t="s">
        <v>1172</v>
      </c>
      <c r="C581" s="211" t="s">
        <v>1200</v>
      </c>
      <c r="D581" s="213">
        <v>3.5</v>
      </c>
      <c r="E581" s="218">
        <v>4</v>
      </c>
      <c r="F581" s="213">
        <f t="shared" si="9"/>
        <v>14</v>
      </c>
      <c r="G581" s="208" t="s">
        <v>767</v>
      </c>
      <c r="H581" s="208"/>
    </row>
    <row r="582" spans="1:8" ht="13.5" customHeight="1" x14ac:dyDescent="0.25">
      <c r="A582" s="212" t="s">
        <v>1452</v>
      </c>
      <c r="B582" s="214"/>
      <c r="C582" s="214" t="s">
        <v>1192</v>
      </c>
      <c r="D582" s="213">
        <v>2.4</v>
      </c>
      <c r="E582" s="218"/>
      <c r="F582" s="213">
        <f t="shared" si="9"/>
        <v>0</v>
      </c>
      <c r="G582" s="211" t="s">
        <v>767</v>
      </c>
      <c r="H582" s="208"/>
    </row>
    <row r="583" spans="1:8" ht="13.5" customHeight="1" x14ac:dyDescent="0.25">
      <c r="A583" s="212" t="s">
        <v>1453</v>
      </c>
      <c r="B583" s="214"/>
      <c r="C583" s="214"/>
      <c r="D583" s="213">
        <v>3.7</v>
      </c>
      <c r="E583" s="218"/>
      <c r="F583" s="213">
        <f t="shared" si="9"/>
        <v>0</v>
      </c>
      <c r="G583" s="208"/>
      <c r="H583" s="208"/>
    </row>
    <row r="584" spans="1:8" ht="13.5" customHeight="1" x14ac:dyDescent="0.25">
      <c r="A584" s="211" t="s">
        <v>1454</v>
      </c>
      <c r="B584" s="211" t="s">
        <v>1172</v>
      </c>
      <c r="C584" s="211" t="s">
        <v>1190</v>
      </c>
      <c r="D584" s="213">
        <v>14.9</v>
      </c>
      <c r="E584" s="218">
        <v>0</v>
      </c>
      <c r="F584" s="213">
        <f t="shared" si="9"/>
        <v>0</v>
      </c>
      <c r="G584" s="208" t="s">
        <v>767</v>
      </c>
      <c r="H584" s="208"/>
    </row>
    <row r="585" spans="1:8" ht="15.75" customHeight="1" x14ac:dyDescent="0.25">
      <c r="A585" s="211" t="s">
        <v>1455</v>
      </c>
      <c r="B585" s="211" t="s">
        <v>1172</v>
      </c>
      <c r="C585" s="211" t="s">
        <v>1308</v>
      </c>
      <c r="D585" s="213"/>
      <c r="E585" s="218"/>
      <c r="F585" s="213">
        <f t="shared" si="9"/>
        <v>0</v>
      </c>
      <c r="G585" s="207" t="s">
        <v>778</v>
      </c>
      <c r="H585" s="208"/>
    </row>
    <row r="586" spans="1:8" ht="15.75" customHeight="1" x14ac:dyDescent="0.25">
      <c r="A586" s="211" t="s">
        <v>1456</v>
      </c>
      <c r="B586" s="211" t="s">
        <v>1172</v>
      </c>
      <c r="C586" s="211" t="s">
        <v>1182</v>
      </c>
      <c r="D586" s="213">
        <v>24</v>
      </c>
      <c r="E586" s="218"/>
      <c r="F586" s="213">
        <f t="shared" si="9"/>
        <v>0</v>
      </c>
      <c r="G586" s="207" t="s">
        <v>778</v>
      </c>
      <c r="H586" s="208"/>
    </row>
    <row r="587" spans="1:8" ht="13.5" customHeight="1" x14ac:dyDescent="0.25">
      <c r="A587" s="212" t="s">
        <v>1457</v>
      </c>
      <c r="B587" s="214"/>
      <c r="C587" s="214"/>
      <c r="D587" s="213">
        <v>100</v>
      </c>
      <c r="E587" s="218"/>
      <c r="F587" s="213">
        <f t="shared" si="9"/>
        <v>0</v>
      </c>
      <c r="G587" s="208" t="s">
        <v>778</v>
      </c>
      <c r="H587" s="208"/>
    </row>
    <row r="588" spans="1:8" ht="15.75" customHeight="1" x14ac:dyDescent="0.25">
      <c r="A588" s="212" t="s">
        <v>1458</v>
      </c>
      <c r="B588" s="214"/>
      <c r="C588" s="211" t="s">
        <v>1459</v>
      </c>
      <c r="D588" s="213">
        <v>49</v>
      </c>
      <c r="E588" s="218">
        <v>0</v>
      </c>
      <c r="F588" s="213">
        <f t="shared" si="9"/>
        <v>0</v>
      </c>
      <c r="G588" s="211" t="s">
        <v>767</v>
      </c>
      <c r="H588" s="208"/>
    </row>
    <row r="589" spans="1:8" ht="15.75" customHeight="1" x14ac:dyDescent="0.25">
      <c r="A589" s="212" t="s">
        <v>1460</v>
      </c>
      <c r="B589" s="214"/>
      <c r="C589" s="211" t="s">
        <v>1182</v>
      </c>
      <c r="D589" s="213">
        <v>4.2</v>
      </c>
      <c r="E589" s="218">
        <v>0</v>
      </c>
      <c r="F589" s="213">
        <f>D589:D589*E589:E589</f>
        <v>0</v>
      </c>
      <c r="G589" s="211" t="s">
        <v>767</v>
      </c>
      <c r="H589" s="208"/>
    </row>
    <row r="590" spans="1:8" ht="13.5" customHeight="1" x14ac:dyDescent="0.25">
      <c r="A590" s="211" t="s">
        <v>1461</v>
      </c>
      <c r="B590" s="211" t="s">
        <v>1172</v>
      </c>
      <c r="C590" s="211" t="s">
        <v>1218</v>
      </c>
      <c r="D590" s="213">
        <v>1.3</v>
      </c>
      <c r="E590" s="218"/>
      <c r="F590" s="213">
        <f t="shared" si="9"/>
        <v>0</v>
      </c>
      <c r="G590" s="208"/>
      <c r="H590" s="208"/>
    </row>
    <row r="591" spans="1:8" ht="15.75" customHeight="1" x14ac:dyDescent="0.25">
      <c r="A591" s="212" t="s">
        <v>1462</v>
      </c>
      <c r="B591" s="214"/>
      <c r="C591" s="214"/>
      <c r="D591" s="213">
        <v>7.9</v>
      </c>
      <c r="E591" s="218"/>
      <c r="F591" s="213">
        <f t="shared" si="9"/>
        <v>0</v>
      </c>
      <c r="G591" s="208"/>
      <c r="H591" s="208"/>
    </row>
    <row r="592" spans="1:8" ht="13.5" customHeight="1" x14ac:dyDescent="0.25">
      <c r="A592" s="211" t="s">
        <v>1463</v>
      </c>
      <c r="B592" s="211" t="s">
        <v>1172</v>
      </c>
      <c r="C592" s="214"/>
      <c r="D592" s="213">
        <v>12</v>
      </c>
      <c r="E592" s="218"/>
      <c r="F592" s="213">
        <f t="shared" si="9"/>
        <v>0</v>
      </c>
      <c r="G592" s="208" t="s">
        <v>778</v>
      </c>
      <c r="H592" s="208"/>
    </row>
    <row r="593" spans="1:8" ht="15.75" customHeight="1" x14ac:dyDescent="0.25">
      <c r="A593" s="212" t="s">
        <v>1464</v>
      </c>
      <c r="B593" s="214"/>
      <c r="C593" s="214"/>
      <c r="D593" s="213">
        <v>14</v>
      </c>
      <c r="E593" s="218"/>
      <c r="F593" s="213">
        <f t="shared" si="9"/>
        <v>0</v>
      </c>
      <c r="G593" s="208"/>
      <c r="H593" s="208"/>
    </row>
    <row r="594" spans="1:8" ht="15.75" customHeight="1" x14ac:dyDescent="0.25">
      <c r="A594" s="211" t="s">
        <v>1465</v>
      </c>
      <c r="B594" s="211" t="s">
        <v>1172</v>
      </c>
      <c r="C594" s="211" t="s">
        <v>1200</v>
      </c>
      <c r="D594" s="213">
        <v>12</v>
      </c>
      <c r="E594" s="218"/>
      <c r="F594" s="213">
        <f t="shared" si="9"/>
        <v>0</v>
      </c>
      <c r="G594" s="208" t="s">
        <v>778</v>
      </c>
      <c r="H594" s="208"/>
    </row>
    <row r="595" spans="1:8" ht="15.75" customHeight="1" x14ac:dyDescent="0.25">
      <c r="A595" s="212" t="s">
        <v>1466</v>
      </c>
      <c r="B595" s="214"/>
      <c r="C595" s="214"/>
      <c r="D595" s="213">
        <v>18</v>
      </c>
      <c r="E595" s="218"/>
      <c r="F595" s="213">
        <f t="shared" si="9"/>
        <v>0</v>
      </c>
      <c r="G595" s="208"/>
      <c r="H595" s="208"/>
    </row>
    <row r="596" spans="1:8" ht="15.75" customHeight="1" x14ac:dyDescent="0.25">
      <c r="A596" s="212" t="s">
        <v>1467</v>
      </c>
      <c r="B596" s="211" t="s">
        <v>1468</v>
      </c>
      <c r="C596" s="214"/>
      <c r="D596" s="213">
        <v>7.5</v>
      </c>
      <c r="E596" s="218"/>
      <c r="F596" s="213">
        <f t="shared" si="9"/>
        <v>0</v>
      </c>
      <c r="G596" s="208"/>
      <c r="H596" s="208"/>
    </row>
    <row r="597" spans="1:8" ht="15.75" customHeight="1" x14ac:dyDescent="0.25">
      <c r="A597" s="212" t="s">
        <v>1469</v>
      </c>
      <c r="B597" s="214"/>
      <c r="C597" s="214"/>
      <c r="D597" s="213">
        <v>13.13</v>
      </c>
      <c r="E597" s="218"/>
      <c r="F597" s="213">
        <f t="shared" si="9"/>
        <v>0</v>
      </c>
      <c r="G597" s="208"/>
      <c r="H597" s="208"/>
    </row>
    <row r="598" spans="1:8" ht="15.75" customHeight="1" x14ac:dyDescent="0.25">
      <c r="A598" s="212" t="s">
        <v>1470</v>
      </c>
      <c r="B598" s="211" t="s">
        <v>1468</v>
      </c>
      <c r="C598" s="211" t="s">
        <v>923</v>
      </c>
      <c r="D598" s="213">
        <v>21.7</v>
      </c>
      <c r="E598" s="218">
        <v>0</v>
      </c>
      <c r="F598" s="213">
        <f t="shared" si="9"/>
        <v>0</v>
      </c>
      <c r="G598" s="208" t="s">
        <v>778</v>
      </c>
      <c r="H598" s="208"/>
    </row>
    <row r="599" spans="1:8" ht="15.75" customHeight="1" x14ac:dyDescent="0.25">
      <c r="A599" s="212" t="s">
        <v>1471</v>
      </c>
      <c r="B599" s="211" t="s">
        <v>1468</v>
      </c>
      <c r="C599" s="211" t="s">
        <v>923</v>
      </c>
      <c r="D599" s="213"/>
      <c r="E599" s="218">
        <v>3</v>
      </c>
      <c r="F599" s="213"/>
      <c r="G599" s="208" t="s">
        <v>767</v>
      </c>
      <c r="H599" s="208" t="s">
        <v>769</v>
      </c>
    </row>
    <row r="600" spans="1:8" ht="15.75" customHeight="1" x14ac:dyDescent="0.25">
      <c r="A600" s="212" t="s">
        <v>1472</v>
      </c>
      <c r="B600" s="211" t="s">
        <v>1468</v>
      </c>
      <c r="C600" s="214">
        <v>1</v>
      </c>
      <c r="D600" s="213">
        <v>2.6</v>
      </c>
      <c r="E600" s="218"/>
      <c r="F600" s="213">
        <f t="shared" si="9"/>
        <v>0</v>
      </c>
      <c r="G600" s="208"/>
      <c r="H600" s="208"/>
    </row>
    <row r="601" spans="1:8" ht="15.75" customHeight="1" x14ac:dyDescent="0.25">
      <c r="A601" s="212" t="s">
        <v>1473</v>
      </c>
      <c r="B601" s="211" t="s">
        <v>1468</v>
      </c>
      <c r="C601" s="211" t="s">
        <v>1182</v>
      </c>
      <c r="D601" s="213">
        <v>28</v>
      </c>
      <c r="E601" s="218"/>
      <c r="F601" s="213">
        <f t="shared" ref="F601:F667" si="10">D601:D601*E601:E601</f>
        <v>0</v>
      </c>
      <c r="G601" s="208"/>
      <c r="H601" s="208"/>
    </row>
    <row r="602" spans="1:8" ht="15.75" customHeight="1" x14ac:dyDescent="0.25">
      <c r="A602" s="212" t="s">
        <v>1474</v>
      </c>
      <c r="B602" s="211" t="s">
        <v>1468</v>
      </c>
      <c r="C602" s="211" t="s">
        <v>1475</v>
      </c>
      <c r="D602" s="213">
        <v>18.850000000000001</v>
      </c>
      <c r="E602" s="218"/>
      <c r="F602" s="213">
        <f t="shared" si="10"/>
        <v>0</v>
      </c>
      <c r="G602" s="208"/>
      <c r="H602" s="208"/>
    </row>
    <row r="603" spans="1:8" ht="15.75" customHeight="1" x14ac:dyDescent="0.25">
      <c r="A603" s="212" t="s">
        <v>1476</v>
      </c>
      <c r="B603" s="211" t="s">
        <v>1468</v>
      </c>
      <c r="C603" s="211" t="s">
        <v>923</v>
      </c>
      <c r="D603" s="213">
        <v>7.15</v>
      </c>
      <c r="E603" s="218">
        <v>0</v>
      </c>
      <c r="F603" s="213">
        <f t="shared" si="10"/>
        <v>0</v>
      </c>
      <c r="G603" s="208" t="s">
        <v>778</v>
      </c>
      <c r="H603" s="208"/>
    </row>
    <row r="604" spans="1:8" ht="15.75" customHeight="1" x14ac:dyDescent="0.25">
      <c r="A604" s="212" t="s">
        <v>1477</v>
      </c>
      <c r="B604" s="214"/>
      <c r="C604" s="214"/>
      <c r="D604" s="213">
        <v>5.2</v>
      </c>
      <c r="E604" s="218">
        <v>0</v>
      </c>
      <c r="F604" s="213">
        <f t="shared" si="10"/>
        <v>0</v>
      </c>
      <c r="G604" s="208" t="s">
        <v>778</v>
      </c>
      <c r="H604" s="208"/>
    </row>
    <row r="605" spans="1:8" ht="15.75" customHeight="1" x14ac:dyDescent="0.25">
      <c r="A605" s="212" t="s">
        <v>1478</v>
      </c>
      <c r="B605" s="214"/>
      <c r="C605" s="214"/>
      <c r="D605" s="213">
        <v>7.43</v>
      </c>
      <c r="E605" s="218"/>
      <c r="F605" s="213">
        <f t="shared" si="10"/>
        <v>0</v>
      </c>
      <c r="G605" s="208"/>
      <c r="H605" s="208"/>
    </row>
    <row r="606" spans="1:8" ht="15.75" customHeight="1" x14ac:dyDescent="0.25">
      <c r="A606" s="212" t="s">
        <v>1479</v>
      </c>
      <c r="B606" s="211" t="s">
        <v>1468</v>
      </c>
      <c r="C606" s="214"/>
      <c r="D606" s="213">
        <v>2.5</v>
      </c>
      <c r="E606" s="218"/>
      <c r="F606" s="213">
        <f t="shared" si="10"/>
        <v>0</v>
      </c>
      <c r="G606" s="208"/>
      <c r="H606" s="208"/>
    </row>
    <row r="607" spans="1:8" ht="15.75" customHeight="1" x14ac:dyDescent="0.25">
      <c r="A607" s="212" t="s">
        <v>1480</v>
      </c>
      <c r="B607" s="211" t="s">
        <v>1468</v>
      </c>
      <c r="C607" s="214"/>
      <c r="D607" s="213">
        <v>12.1</v>
      </c>
      <c r="E607" s="218"/>
      <c r="F607" s="213">
        <f t="shared" si="10"/>
        <v>0</v>
      </c>
      <c r="G607" s="208"/>
      <c r="H607" s="208"/>
    </row>
    <row r="608" spans="1:8" ht="15.75" customHeight="1" x14ac:dyDescent="0.25">
      <c r="A608" s="212" t="s">
        <v>1481</v>
      </c>
      <c r="B608" s="214"/>
      <c r="C608" s="214"/>
      <c r="D608" s="213">
        <v>11.64</v>
      </c>
      <c r="E608" s="218"/>
      <c r="F608" s="213">
        <f t="shared" si="10"/>
        <v>0</v>
      </c>
      <c r="G608" s="208"/>
      <c r="H608" s="208"/>
    </row>
    <row r="609" spans="1:8" ht="15.75" customHeight="1" x14ac:dyDescent="0.25">
      <c r="A609" s="212" t="s">
        <v>1482</v>
      </c>
      <c r="B609" s="214"/>
      <c r="C609" s="214"/>
      <c r="D609" s="213">
        <v>3.19</v>
      </c>
      <c r="E609" s="218"/>
      <c r="F609" s="213">
        <f t="shared" si="10"/>
        <v>0</v>
      </c>
      <c r="G609" s="208"/>
      <c r="H609" s="208"/>
    </row>
    <row r="610" spans="1:8" ht="15.75" customHeight="1" x14ac:dyDescent="0.25">
      <c r="A610" s="212" t="s">
        <v>1483</v>
      </c>
      <c r="B610" s="214"/>
      <c r="C610" s="214"/>
      <c r="D610" s="213">
        <v>1.82</v>
      </c>
      <c r="E610" s="218">
        <v>0</v>
      </c>
      <c r="F610" s="213">
        <f t="shared" si="10"/>
        <v>0</v>
      </c>
      <c r="G610" s="208" t="s">
        <v>778</v>
      </c>
      <c r="H610" s="208"/>
    </row>
    <row r="611" spans="1:8" ht="15.75" customHeight="1" x14ac:dyDescent="0.25">
      <c r="A611" s="212" t="s">
        <v>1484</v>
      </c>
      <c r="B611" s="211" t="s">
        <v>1468</v>
      </c>
      <c r="C611" s="214"/>
      <c r="D611" s="213">
        <v>4.67</v>
      </c>
      <c r="E611" s="218"/>
      <c r="F611" s="213">
        <f t="shared" si="10"/>
        <v>0</v>
      </c>
      <c r="G611" s="208"/>
      <c r="H611" s="208"/>
    </row>
    <row r="612" spans="1:8" ht="15.75" customHeight="1" x14ac:dyDescent="0.25">
      <c r="A612" s="212" t="s">
        <v>1485</v>
      </c>
      <c r="B612" s="211" t="s">
        <v>1468</v>
      </c>
      <c r="C612" s="214"/>
      <c r="D612" s="213">
        <v>4.68</v>
      </c>
      <c r="E612" s="218"/>
      <c r="F612" s="213">
        <f t="shared" si="10"/>
        <v>0</v>
      </c>
      <c r="G612" s="208"/>
      <c r="H612" s="208"/>
    </row>
    <row r="613" spans="1:8" ht="15.75" customHeight="1" x14ac:dyDescent="0.25">
      <c r="A613" s="212" t="s">
        <v>1486</v>
      </c>
      <c r="B613" s="214"/>
      <c r="C613" s="214"/>
      <c r="D613" s="213">
        <v>9.18</v>
      </c>
      <c r="E613" s="218"/>
      <c r="F613" s="213">
        <f t="shared" si="10"/>
        <v>0</v>
      </c>
      <c r="G613" s="208"/>
      <c r="H613" s="208"/>
    </row>
    <row r="614" spans="1:8" ht="15.75" customHeight="1" x14ac:dyDescent="0.25">
      <c r="A614" s="212" t="s">
        <v>1487</v>
      </c>
      <c r="B614" s="211" t="s">
        <v>1468</v>
      </c>
      <c r="C614" s="214"/>
      <c r="D614" s="213">
        <v>12.15</v>
      </c>
      <c r="E614" s="218"/>
      <c r="F614" s="213">
        <f t="shared" si="10"/>
        <v>0</v>
      </c>
      <c r="G614" s="208"/>
      <c r="H614" s="208"/>
    </row>
    <row r="615" spans="1:8" ht="15.75" customHeight="1" x14ac:dyDescent="0.25">
      <c r="A615" s="212" t="s">
        <v>1488</v>
      </c>
      <c r="B615" s="211" t="s">
        <v>1468</v>
      </c>
      <c r="C615" s="214"/>
      <c r="D615" s="213">
        <v>6.44</v>
      </c>
      <c r="E615" s="218"/>
      <c r="F615" s="213">
        <f t="shared" si="10"/>
        <v>0</v>
      </c>
      <c r="G615" s="208"/>
      <c r="H615" s="208"/>
    </row>
    <row r="616" spans="1:8" ht="15.75" customHeight="1" x14ac:dyDescent="0.25">
      <c r="A616" s="212" t="s">
        <v>1489</v>
      </c>
      <c r="B616" s="211"/>
      <c r="C616" s="214" t="s">
        <v>1490</v>
      </c>
      <c r="D616" s="213">
        <v>100</v>
      </c>
      <c r="E616" s="218">
        <v>1</v>
      </c>
      <c r="F616" s="213">
        <f t="shared" si="10"/>
        <v>100</v>
      </c>
      <c r="G616" s="214" t="s">
        <v>778</v>
      </c>
      <c r="H616" s="208"/>
    </row>
    <row r="617" spans="1:8" ht="13.5" customHeight="1" x14ac:dyDescent="0.25">
      <c r="A617" s="212" t="s">
        <v>1491</v>
      </c>
      <c r="B617" s="214"/>
      <c r="C617" s="211" t="s">
        <v>1176</v>
      </c>
      <c r="D617" s="213">
        <v>20.18</v>
      </c>
      <c r="E617" s="218"/>
      <c r="F617" s="213">
        <f t="shared" si="10"/>
        <v>0</v>
      </c>
      <c r="G617" s="207" t="s">
        <v>778</v>
      </c>
      <c r="H617" s="208"/>
    </row>
    <row r="618" spans="1:8" ht="13.5" customHeight="1" x14ac:dyDescent="0.25">
      <c r="A618" s="219"/>
      <c r="B618" s="214"/>
      <c r="C618" s="214"/>
      <c r="D618" s="209"/>
      <c r="E618" s="210"/>
      <c r="F618" s="209">
        <f t="shared" si="10"/>
        <v>0</v>
      </c>
      <c r="G618" s="207" t="s">
        <v>778</v>
      </c>
      <c r="H618" s="208"/>
    </row>
    <row r="619" spans="1:8" ht="13.5" customHeight="1" x14ac:dyDescent="0.25">
      <c r="A619" s="207" t="s">
        <v>1492</v>
      </c>
      <c r="B619" s="207" t="s">
        <v>1493</v>
      </c>
      <c r="C619" s="208"/>
      <c r="D619" s="209">
        <v>17.399999999999999</v>
      </c>
      <c r="E619" s="210">
        <v>1.8</v>
      </c>
      <c r="F619" s="209">
        <f t="shared" si="10"/>
        <v>31.319999999999997</v>
      </c>
      <c r="G619" s="211" t="s">
        <v>767</v>
      </c>
      <c r="H619" s="208"/>
    </row>
    <row r="620" spans="1:8" ht="15.75" customHeight="1" x14ac:dyDescent="0.25">
      <c r="A620" s="207" t="s">
        <v>1494</v>
      </c>
      <c r="B620" s="207" t="s">
        <v>1493</v>
      </c>
      <c r="C620" s="208"/>
      <c r="D620" s="209">
        <v>2.37</v>
      </c>
      <c r="E620" s="210">
        <v>0</v>
      </c>
      <c r="F620" s="209">
        <f t="shared" si="10"/>
        <v>0</v>
      </c>
      <c r="G620" s="211" t="s">
        <v>778</v>
      </c>
      <c r="H620" s="208"/>
    </row>
    <row r="621" spans="1:8" ht="15.75" customHeight="1" x14ac:dyDescent="0.25">
      <c r="A621" s="207" t="s">
        <v>1495</v>
      </c>
      <c r="B621" s="207" t="s">
        <v>1493</v>
      </c>
      <c r="C621" s="208"/>
      <c r="D621" s="209">
        <v>2</v>
      </c>
      <c r="E621" s="210"/>
      <c r="F621" s="209">
        <f t="shared" si="10"/>
        <v>0</v>
      </c>
      <c r="G621" s="207"/>
      <c r="H621" s="208"/>
    </row>
    <row r="622" spans="1:8" ht="15.75" customHeight="1" x14ac:dyDescent="0.25">
      <c r="A622" s="212" t="s">
        <v>1496</v>
      </c>
      <c r="B622" s="208"/>
      <c r="C622" s="208">
        <v>0.5</v>
      </c>
      <c r="D622" s="209">
        <v>5.0999999999999996</v>
      </c>
      <c r="E622" s="210">
        <v>1</v>
      </c>
      <c r="F622" s="209">
        <f t="shared" si="10"/>
        <v>5.0999999999999996</v>
      </c>
      <c r="G622" s="211" t="s">
        <v>809</v>
      </c>
      <c r="H622" s="208"/>
    </row>
    <row r="623" spans="1:8" ht="15.75" customHeight="1" x14ac:dyDescent="0.25">
      <c r="A623" s="212" t="s">
        <v>1497</v>
      </c>
      <c r="B623" s="207" t="s">
        <v>1498</v>
      </c>
      <c r="C623" s="208"/>
      <c r="D623" s="209">
        <v>3.75</v>
      </c>
      <c r="E623" s="210">
        <v>8</v>
      </c>
      <c r="F623" s="209">
        <f t="shared" si="10"/>
        <v>30</v>
      </c>
      <c r="G623" s="211" t="s">
        <v>809</v>
      </c>
      <c r="H623" s="208"/>
    </row>
    <row r="624" spans="1:8" ht="15.75" customHeight="1" x14ac:dyDescent="0.25">
      <c r="A624" s="212" t="s">
        <v>1499</v>
      </c>
      <c r="B624" s="207"/>
      <c r="C624" s="208"/>
      <c r="D624" s="209">
        <v>2.0299999999999998</v>
      </c>
      <c r="E624" s="210">
        <v>12</v>
      </c>
      <c r="F624" s="209">
        <f>D624:D624*E624:E624</f>
        <v>24.36</v>
      </c>
      <c r="G624" s="211" t="s">
        <v>809</v>
      </c>
      <c r="H624" s="208"/>
    </row>
    <row r="625" spans="1:8" ht="13.5" customHeight="1" x14ac:dyDescent="0.25">
      <c r="A625" s="212" t="s">
        <v>1500</v>
      </c>
      <c r="B625" s="208"/>
      <c r="C625" s="207" t="s">
        <v>1501</v>
      </c>
      <c r="D625" s="209">
        <v>25.2</v>
      </c>
      <c r="E625" s="210">
        <v>2</v>
      </c>
      <c r="F625" s="209">
        <f t="shared" si="10"/>
        <v>50.4</v>
      </c>
      <c r="G625" s="211" t="s">
        <v>809</v>
      </c>
      <c r="H625" s="208"/>
    </row>
    <row r="626" spans="1:8" ht="13.5" customHeight="1" x14ac:dyDescent="0.25">
      <c r="A626" s="212" t="s">
        <v>1502</v>
      </c>
      <c r="B626" s="208"/>
      <c r="C626" s="208"/>
      <c r="D626" s="209">
        <f>7.55*4</f>
        <v>30.2</v>
      </c>
      <c r="E626" s="210">
        <v>0.25</v>
      </c>
      <c r="F626" s="209">
        <f t="shared" si="10"/>
        <v>7.55</v>
      </c>
      <c r="G626" s="211" t="s">
        <v>809</v>
      </c>
      <c r="H626" s="208"/>
    </row>
    <row r="627" spans="1:8" ht="13.5" customHeight="1" x14ac:dyDescent="0.25">
      <c r="A627" s="207" t="s">
        <v>1154</v>
      </c>
      <c r="B627" s="207" t="s">
        <v>1493</v>
      </c>
      <c r="C627" s="207" t="s">
        <v>896</v>
      </c>
      <c r="D627" s="209">
        <v>21.15</v>
      </c>
      <c r="E627" s="210">
        <v>0.94</v>
      </c>
      <c r="F627" s="209">
        <f t="shared" si="10"/>
        <v>19.880999999999997</v>
      </c>
      <c r="G627" s="211" t="s">
        <v>809</v>
      </c>
      <c r="H627" s="208"/>
    </row>
    <row r="628" spans="1:8" ht="13.5" customHeight="1" x14ac:dyDescent="0.25">
      <c r="A628" s="207" t="s">
        <v>1503</v>
      </c>
      <c r="B628" s="207" t="s">
        <v>1493</v>
      </c>
      <c r="C628" s="208"/>
      <c r="D628" s="209">
        <v>53.4</v>
      </c>
      <c r="E628" s="210">
        <v>1.6</v>
      </c>
      <c r="F628" s="209">
        <f t="shared" si="10"/>
        <v>85.44</v>
      </c>
      <c r="G628" s="211" t="s">
        <v>767</v>
      </c>
      <c r="H628" s="208"/>
    </row>
    <row r="629" spans="1:8" ht="13.5" customHeight="1" x14ac:dyDescent="0.25">
      <c r="A629" s="207" t="s">
        <v>1504</v>
      </c>
      <c r="B629" s="207" t="s">
        <v>1493</v>
      </c>
      <c r="C629" s="208"/>
      <c r="D629" s="209">
        <v>59.35</v>
      </c>
      <c r="E629" s="210">
        <v>1.3</v>
      </c>
      <c r="F629" s="209">
        <f t="shared" si="10"/>
        <v>77.155000000000001</v>
      </c>
      <c r="G629" s="211" t="s">
        <v>767</v>
      </c>
      <c r="H629" s="208"/>
    </row>
    <row r="630" spans="1:8" ht="15.75" customHeight="1" x14ac:dyDescent="0.25">
      <c r="A630" s="207" t="s">
        <v>1505</v>
      </c>
      <c r="B630" s="207" t="s">
        <v>1493</v>
      </c>
      <c r="C630" s="208"/>
      <c r="D630" s="209">
        <v>35.1</v>
      </c>
      <c r="E630" s="210">
        <v>1.3</v>
      </c>
      <c r="F630" s="209">
        <f t="shared" si="10"/>
        <v>45.63</v>
      </c>
      <c r="G630" s="211" t="s">
        <v>767</v>
      </c>
      <c r="H630" s="208"/>
    </row>
    <row r="631" spans="1:8" ht="13.5" customHeight="1" x14ac:dyDescent="0.25">
      <c r="A631" s="207" t="s">
        <v>1506</v>
      </c>
      <c r="B631" s="207" t="s">
        <v>1493</v>
      </c>
      <c r="C631" s="208"/>
      <c r="D631" s="209">
        <v>42.05</v>
      </c>
      <c r="E631" s="210">
        <v>0.9</v>
      </c>
      <c r="F631" s="209">
        <f t="shared" si="10"/>
        <v>37.844999999999999</v>
      </c>
      <c r="G631" s="211" t="s">
        <v>767</v>
      </c>
      <c r="H631" s="208"/>
    </row>
    <row r="632" spans="1:8" ht="13.5" customHeight="1" x14ac:dyDescent="0.25">
      <c r="A632" s="212" t="s">
        <v>1507</v>
      </c>
      <c r="B632" s="208"/>
      <c r="C632" s="208"/>
      <c r="D632" s="209">
        <v>48.36</v>
      </c>
      <c r="E632" s="210">
        <v>1.2</v>
      </c>
      <c r="F632" s="209">
        <f t="shared" si="10"/>
        <v>58.031999999999996</v>
      </c>
      <c r="G632" s="211" t="s">
        <v>767</v>
      </c>
      <c r="H632" s="208"/>
    </row>
    <row r="633" spans="1:8" ht="13.5" customHeight="1" x14ac:dyDescent="0.25">
      <c r="A633" s="207" t="s">
        <v>1508</v>
      </c>
      <c r="B633" s="207" t="s">
        <v>1493</v>
      </c>
      <c r="C633" s="208"/>
      <c r="D633" s="209">
        <v>52.35</v>
      </c>
      <c r="E633" s="210">
        <v>0.8</v>
      </c>
      <c r="F633" s="209">
        <f t="shared" si="10"/>
        <v>41.88</v>
      </c>
      <c r="G633" s="211" t="s">
        <v>767</v>
      </c>
      <c r="H633" s="208"/>
    </row>
    <row r="634" spans="1:8" ht="13.5" customHeight="1" x14ac:dyDescent="0.25">
      <c r="A634" s="207" t="s">
        <v>1509</v>
      </c>
      <c r="B634" s="207" t="s">
        <v>1493</v>
      </c>
      <c r="C634" s="208"/>
      <c r="D634" s="209">
        <v>13</v>
      </c>
      <c r="E634" s="210">
        <v>6</v>
      </c>
      <c r="F634" s="209">
        <f t="shared" si="10"/>
        <v>78</v>
      </c>
      <c r="G634" s="211" t="s">
        <v>767</v>
      </c>
      <c r="H634" s="208"/>
    </row>
    <row r="635" spans="1:8" ht="13.5" customHeight="1" x14ac:dyDescent="0.25">
      <c r="A635" s="207" t="s">
        <v>1510</v>
      </c>
      <c r="B635" s="207" t="s">
        <v>1493</v>
      </c>
      <c r="C635" s="208"/>
      <c r="D635" s="209">
        <v>13</v>
      </c>
      <c r="E635" s="210">
        <v>2</v>
      </c>
      <c r="F635" s="209">
        <f t="shared" si="10"/>
        <v>26</v>
      </c>
      <c r="G635" s="211" t="s">
        <v>767</v>
      </c>
      <c r="H635" s="208"/>
    </row>
    <row r="636" spans="1:8" ht="13.5" customHeight="1" x14ac:dyDescent="0.25">
      <c r="A636" s="207" t="s">
        <v>1511</v>
      </c>
      <c r="B636" s="207" t="s">
        <v>1493</v>
      </c>
      <c r="C636" s="208"/>
      <c r="D636" s="209">
        <v>42.95</v>
      </c>
      <c r="E636" s="210">
        <v>1.25</v>
      </c>
      <c r="F636" s="209">
        <f t="shared" si="10"/>
        <v>53.6875</v>
      </c>
      <c r="G636" s="211" t="s">
        <v>767</v>
      </c>
      <c r="H636" s="208"/>
    </row>
    <row r="637" spans="1:8" ht="15.75" customHeight="1" x14ac:dyDescent="0.25">
      <c r="A637" s="207" t="s">
        <v>1512</v>
      </c>
      <c r="B637" s="207" t="s">
        <v>1493</v>
      </c>
      <c r="C637" s="208">
        <v>1.6</v>
      </c>
      <c r="D637" s="209">
        <v>35.25</v>
      </c>
      <c r="E637" s="210">
        <v>0.35</v>
      </c>
      <c r="F637" s="209">
        <f t="shared" si="10"/>
        <v>12.337499999999999</v>
      </c>
      <c r="G637" s="211" t="s">
        <v>767</v>
      </c>
      <c r="H637" s="208"/>
    </row>
    <row r="638" spans="1:8" ht="13.5" customHeight="1" x14ac:dyDescent="0.25">
      <c r="A638" s="207" t="s">
        <v>1513</v>
      </c>
      <c r="B638" s="207" t="s">
        <v>1493</v>
      </c>
      <c r="C638" s="208"/>
      <c r="D638" s="209">
        <v>28.6</v>
      </c>
      <c r="E638" s="210">
        <v>0.5</v>
      </c>
      <c r="F638" s="209">
        <f t="shared" si="10"/>
        <v>14.3</v>
      </c>
      <c r="G638" s="208"/>
      <c r="H638" s="208"/>
    </row>
    <row r="639" spans="1:8" ht="13.5" customHeight="1" x14ac:dyDescent="0.25">
      <c r="A639" s="212" t="s">
        <v>1514</v>
      </c>
      <c r="B639" s="208"/>
      <c r="C639" s="208"/>
      <c r="D639" s="209">
        <v>12.95</v>
      </c>
      <c r="E639" s="210">
        <v>0.5</v>
      </c>
      <c r="F639" s="209">
        <f t="shared" si="10"/>
        <v>6.4749999999999996</v>
      </c>
      <c r="G639" s="211" t="s">
        <v>778</v>
      </c>
      <c r="H639" s="208"/>
    </row>
    <row r="640" spans="1:8" ht="13.5" customHeight="1" x14ac:dyDescent="0.25">
      <c r="A640" s="207" t="s">
        <v>1515</v>
      </c>
      <c r="B640" s="207" t="s">
        <v>1493</v>
      </c>
      <c r="C640" s="208"/>
      <c r="D640" s="209">
        <v>3</v>
      </c>
      <c r="E640" s="210"/>
      <c r="F640" s="209">
        <f t="shared" si="10"/>
        <v>0</v>
      </c>
      <c r="G640" s="207"/>
      <c r="H640" s="208"/>
    </row>
    <row r="641" spans="1:8" ht="13.5" customHeight="1" x14ac:dyDescent="0.25">
      <c r="A641" s="207" t="s">
        <v>1516</v>
      </c>
      <c r="B641" s="207" t="s">
        <v>1493</v>
      </c>
      <c r="C641" s="208"/>
      <c r="D641" s="209">
        <v>5.15</v>
      </c>
      <c r="E641" s="210">
        <v>2.0499999999999998</v>
      </c>
      <c r="F641" s="209">
        <f t="shared" si="10"/>
        <v>10.557499999999999</v>
      </c>
      <c r="G641" s="211" t="s">
        <v>767</v>
      </c>
      <c r="H641" s="208"/>
    </row>
    <row r="642" spans="1:8" ht="13.5" customHeight="1" x14ac:dyDescent="0.25">
      <c r="A642" s="207" t="s">
        <v>1517</v>
      </c>
      <c r="B642" s="207" t="s">
        <v>1493</v>
      </c>
      <c r="C642" s="208"/>
      <c r="D642" s="209">
        <v>5.15</v>
      </c>
      <c r="E642" s="210">
        <v>2.4</v>
      </c>
      <c r="F642" s="209">
        <f t="shared" si="10"/>
        <v>12.360000000000001</v>
      </c>
      <c r="G642" s="211" t="s">
        <v>767</v>
      </c>
      <c r="H642" s="208"/>
    </row>
    <row r="643" spans="1:8" ht="13.5" customHeight="1" x14ac:dyDescent="0.25">
      <c r="A643" s="207" t="s">
        <v>1518</v>
      </c>
      <c r="B643" s="207" t="s">
        <v>1493</v>
      </c>
      <c r="C643" s="208"/>
      <c r="D643" s="209">
        <v>4</v>
      </c>
      <c r="E643" s="210">
        <v>2</v>
      </c>
      <c r="F643" s="209">
        <f t="shared" si="10"/>
        <v>8</v>
      </c>
      <c r="G643" s="211" t="s">
        <v>974</v>
      </c>
      <c r="H643" s="208"/>
    </row>
    <row r="644" spans="1:8" ht="15.75" customHeight="1" x14ac:dyDescent="0.25">
      <c r="A644" s="207" t="s">
        <v>1519</v>
      </c>
      <c r="B644" s="207" t="s">
        <v>1493</v>
      </c>
      <c r="C644" s="208"/>
      <c r="D644" s="209">
        <v>22.6</v>
      </c>
      <c r="E644" s="210"/>
      <c r="F644" s="209">
        <f t="shared" si="10"/>
        <v>0</v>
      </c>
      <c r="G644" s="207" t="s">
        <v>778</v>
      </c>
      <c r="H644" s="208"/>
    </row>
    <row r="645" spans="1:8" ht="13.5" customHeight="1" x14ac:dyDescent="0.25">
      <c r="A645" s="207" t="s">
        <v>1520</v>
      </c>
      <c r="B645" s="207" t="s">
        <v>1493</v>
      </c>
      <c r="C645" s="208"/>
      <c r="D645" s="209">
        <v>7.45</v>
      </c>
      <c r="E645" s="210">
        <v>0.8</v>
      </c>
      <c r="F645" s="209">
        <f t="shared" si="10"/>
        <v>5.9600000000000009</v>
      </c>
      <c r="G645" s="211" t="s">
        <v>767</v>
      </c>
      <c r="H645" s="208"/>
    </row>
    <row r="646" spans="1:8" ht="13.5" customHeight="1" x14ac:dyDescent="0.25">
      <c r="A646" s="212" t="s">
        <v>1521</v>
      </c>
      <c r="B646" s="208"/>
      <c r="C646" s="208"/>
      <c r="D646" s="209">
        <v>31.05</v>
      </c>
      <c r="E646" s="210">
        <v>0.4</v>
      </c>
      <c r="F646" s="209">
        <f t="shared" si="10"/>
        <v>12.420000000000002</v>
      </c>
      <c r="G646" s="211" t="s">
        <v>767</v>
      </c>
      <c r="H646" s="208"/>
    </row>
    <row r="647" spans="1:8" ht="13.5" customHeight="1" x14ac:dyDescent="0.25">
      <c r="A647" s="207" t="s">
        <v>1522</v>
      </c>
      <c r="B647" s="207" t="s">
        <v>1493</v>
      </c>
      <c r="C647" s="208"/>
      <c r="D647" s="209">
        <v>11.25</v>
      </c>
      <c r="E647" s="210">
        <v>2</v>
      </c>
      <c r="F647" s="209">
        <f t="shared" si="10"/>
        <v>22.5</v>
      </c>
      <c r="G647" s="211" t="s">
        <v>767</v>
      </c>
      <c r="H647" s="208"/>
    </row>
    <row r="648" spans="1:8" ht="13.5" customHeight="1" x14ac:dyDescent="0.25">
      <c r="A648" s="207" t="s">
        <v>1523</v>
      </c>
      <c r="B648" s="207" t="s">
        <v>1493</v>
      </c>
      <c r="C648" s="208"/>
      <c r="D648" s="209">
        <v>8.75</v>
      </c>
      <c r="E648" s="210">
        <v>0.5</v>
      </c>
      <c r="F648" s="209">
        <f t="shared" si="10"/>
        <v>4.375</v>
      </c>
      <c r="G648" s="211" t="s">
        <v>767</v>
      </c>
      <c r="H648" s="208"/>
    </row>
    <row r="649" spans="1:8" ht="15.75" customHeight="1" x14ac:dyDescent="0.25">
      <c r="A649" s="207" t="s">
        <v>1524</v>
      </c>
      <c r="B649" s="207" t="s">
        <v>1493</v>
      </c>
      <c r="C649" s="208"/>
      <c r="D649" s="209">
        <v>14.35</v>
      </c>
      <c r="E649" s="210">
        <v>1</v>
      </c>
      <c r="F649" s="209">
        <f t="shared" si="10"/>
        <v>14.35</v>
      </c>
      <c r="G649" s="211" t="s">
        <v>767</v>
      </c>
      <c r="H649" s="208"/>
    </row>
    <row r="650" spans="1:8" ht="13.5" customHeight="1" x14ac:dyDescent="0.25">
      <c r="A650" s="207" t="s">
        <v>1525</v>
      </c>
      <c r="B650" s="207" t="s">
        <v>1493</v>
      </c>
      <c r="C650" s="208"/>
      <c r="D650" s="209">
        <v>8.6999999999999993</v>
      </c>
      <c r="E650" s="210"/>
      <c r="F650" s="209">
        <f t="shared" si="10"/>
        <v>0</v>
      </c>
      <c r="G650" s="208"/>
      <c r="H650" s="208"/>
    </row>
    <row r="651" spans="1:8" ht="13.5" customHeight="1" x14ac:dyDescent="0.25">
      <c r="A651" s="212" t="s">
        <v>1526</v>
      </c>
      <c r="B651" s="208"/>
      <c r="C651" s="208"/>
      <c r="D651" s="209">
        <v>10</v>
      </c>
      <c r="E651" s="210">
        <v>18</v>
      </c>
      <c r="F651" s="209">
        <f t="shared" si="10"/>
        <v>180</v>
      </c>
      <c r="G651" s="211" t="s">
        <v>767</v>
      </c>
      <c r="H651" s="208"/>
    </row>
    <row r="652" spans="1:8" ht="13.5" customHeight="1" x14ac:dyDescent="0.25">
      <c r="A652" s="207" t="s">
        <v>1527</v>
      </c>
      <c r="B652" s="207" t="s">
        <v>1493</v>
      </c>
      <c r="C652" s="208"/>
      <c r="D652" s="209">
        <v>21.2</v>
      </c>
      <c r="E652" s="210"/>
      <c r="F652" s="209">
        <f t="shared" si="10"/>
        <v>0</v>
      </c>
      <c r="G652" s="207" t="s">
        <v>778</v>
      </c>
      <c r="H652" s="208"/>
    </row>
    <row r="653" spans="1:8" ht="15.75" customHeight="1" x14ac:dyDescent="0.25">
      <c r="A653" s="207" t="s">
        <v>1528</v>
      </c>
      <c r="B653" s="207" t="s">
        <v>1493</v>
      </c>
      <c r="C653" s="208"/>
      <c r="D653" s="209">
        <v>3.5</v>
      </c>
      <c r="E653" s="210"/>
      <c r="F653" s="209">
        <f t="shared" si="10"/>
        <v>0</v>
      </c>
      <c r="G653" s="208"/>
      <c r="H653" s="208"/>
    </row>
    <row r="654" spans="1:8" ht="13.5" customHeight="1" x14ac:dyDescent="0.25">
      <c r="A654" s="207" t="s">
        <v>1529</v>
      </c>
      <c r="B654" s="207" t="s">
        <v>1493</v>
      </c>
      <c r="C654" s="208"/>
      <c r="D654" s="209">
        <v>19.05</v>
      </c>
      <c r="E654" s="210">
        <v>1</v>
      </c>
      <c r="F654" s="209">
        <f t="shared" si="10"/>
        <v>19.05</v>
      </c>
      <c r="G654" s="211" t="s">
        <v>767</v>
      </c>
      <c r="H654" s="208"/>
    </row>
    <row r="655" spans="1:8" ht="13.5" customHeight="1" x14ac:dyDescent="0.25">
      <c r="A655" s="212" t="s">
        <v>1530</v>
      </c>
      <c r="B655" s="208"/>
      <c r="C655" s="208"/>
      <c r="D655" s="209">
        <v>8.5</v>
      </c>
      <c r="E655" s="210">
        <v>0.5</v>
      </c>
      <c r="F655" s="209">
        <f t="shared" si="10"/>
        <v>4.25</v>
      </c>
      <c r="G655" s="208"/>
      <c r="H655" s="208"/>
    </row>
    <row r="656" spans="1:8" ht="15.75" customHeight="1" x14ac:dyDescent="0.25">
      <c r="A656" s="207" t="s">
        <v>1531</v>
      </c>
      <c r="B656" s="207" t="s">
        <v>1493</v>
      </c>
      <c r="C656" s="208"/>
      <c r="D656" s="209">
        <v>5.3</v>
      </c>
      <c r="E656" s="210"/>
      <c r="F656" s="209">
        <f t="shared" si="10"/>
        <v>0</v>
      </c>
      <c r="G656" s="207" t="s">
        <v>778</v>
      </c>
      <c r="H656" s="208"/>
    </row>
    <row r="657" spans="1:8" ht="15.75" customHeight="1" x14ac:dyDescent="0.25">
      <c r="A657" s="207" t="s">
        <v>1532</v>
      </c>
      <c r="B657" s="207" t="s">
        <v>1493</v>
      </c>
      <c r="C657" s="208"/>
      <c r="D657" s="209">
        <v>18.3</v>
      </c>
      <c r="E657" s="210"/>
      <c r="F657" s="209">
        <f t="shared" si="10"/>
        <v>0</v>
      </c>
      <c r="G657" s="207" t="s">
        <v>778</v>
      </c>
      <c r="H657" s="208"/>
    </row>
    <row r="658" spans="1:8" ht="15.75" customHeight="1" x14ac:dyDescent="0.25">
      <c r="A658" s="212" t="s">
        <v>1533</v>
      </c>
      <c r="B658" s="207" t="s">
        <v>1493</v>
      </c>
      <c r="C658" s="208"/>
      <c r="D658" s="209">
        <v>4.3499999999999996</v>
      </c>
      <c r="E658" s="210">
        <v>6</v>
      </c>
      <c r="F658" s="209">
        <f t="shared" si="10"/>
        <v>26.099999999999998</v>
      </c>
      <c r="G658" s="211" t="s">
        <v>767</v>
      </c>
      <c r="H658" s="208"/>
    </row>
    <row r="659" spans="1:8" ht="15.75" customHeight="1" x14ac:dyDescent="0.25">
      <c r="A659" s="212" t="s">
        <v>1534</v>
      </c>
      <c r="B659" s="208"/>
      <c r="C659" s="208"/>
      <c r="D659" s="209">
        <v>4.3</v>
      </c>
      <c r="E659" s="210">
        <v>10</v>
      </c>
      <c r="F659" s="209">
        <f t="shared" si="10"/>
        <v>43</v>
      </c>
      <c r="G659" s="211" t="s">
        <v>767</v>
      </c>
      <c r="H659" s="208"/>
    </row>
    <row r="660" spans="1:8" ht="15.75" customHeight="1" x14ac:dyDescent="0.25">
      <c r="A660" s="212" t="s">
        <v>1535</v>
      </c>
      <c r="B660" s="208"/>
      <c r="C660" s="208"/>
      <c r="D660" s="209">
        <v>3.45</v>
      </c>
      <c r="E660" s="210">
        <v>4</v>
      </c>
      <c r="F660" s="209">
        <f t="shared" si="10"/>
        <v>13.8</v>
      </c>
      <c r="G660" s="211" t="s">
        <v>767</v>
      </c>
      <c r="H660" s="208"/>
    </row>
    <row r="661" spans="1:8" ht="15.75" customHeight="1" x14ac:dyDescent="0.25">
      <c r="A661" s="212" t="s">
        <v>1536</v>
      </c>
      <c r="B661" s="207" t="s">
        <v>1493</v>
      </c>
      <c r="C661" s="208"/>
      <c r="D661" s="209">
        <v>3.5</v>
      </c>
      <c r="E661" s="210">
        <v>2</v>
      </c>
      <c r="F661" s="209">
        <f t="shared" si="10"/>
        <v>7</v>
      </c>
      <c r="G661" s="211" t="s">
        <v>767</v>
      </c>
      <c r="H661" s="208"/>
    </row>
    <row r="662" spans="1:8" ht="15.75" customHeight="1" x14ac:dyDescent="0.25">
      <c r="A662" s="212" t="s">
        <v>1537</v>
      </c>
      <c r="B662" s="207" t="s">
        <v>1493</v>
      </c>
      <c r="C662" s="208"/>
      <c r="D662" s="209">
        <v>11.4</v>
      </c>
      <c r="E662" s="210">
        <v>2.5</v>
      </c>
      <c r="F662" s="209">
        <f t="shared" si="10"/>
        <v>28.5</v>
      </c>
      <c r="G662" s="211" t="s">
        <v>767</v>
      </c>
      <c r="H662" s="208"/>
    </row>
    <row r="663" spans="1:8" ht="15.75" customHeight="1" x14ac:dyDescent="0.25">
      <c r="A663" s="212" t="s">
        <v>1538</v>
      </c>
      <c r="B663" s="208"/>
      <c r="C663" s="208"/>
      <c r="D663" s="209">
        <v>3.45</v>
      </c>
      <c r="E663" s="210">
        <v>3</v>
      </c>
      <c r="F663" s="209">
        <f t="shared" si="10"/>
        <v>10.350000000000001</v>
      </c>
      <c r="G663" s="211" t="s">
        <v>767</v>
      </c>
      <c r="H663" s="208"/>
    </row>
    <row r="664" spans="1:8" ht="15.75" customHeight="1" x14ac:dyDescent="0.25">
      <c r="A664" s="212" t="s">
        <v>1539</v>
      </c>
      <c r="B664" s="207" t="s">
        <v>1493</v>
      </c>
      <c r="C664" s="208"/>
      <c r="D664" s="209">
        <v>19</v>
      </c>
      <c r="E664" s="210">
        <v>2</v>
      </c>
      <c r="F664" s="209">
        <f t="shared" si="10"/>
        <v>38</v>
      </c>
      <c r="G664" s="211" t="s">
        <v>974</v>
      </c>
      <c r="H664" s="208"/>
    </row>
    <row r="665" spans="1:8" ht="15.75" customHeight="1" x14ac:dyDescent="0.25">
      <c r="A665" s="212" t="s">
        <v>1540</v>
      </c>
      <c r="B665" s="207" t="s">
        <v>1493</v>
      </c>
      <c r="C665" s="208">
        <v>1</v>
      </c>
      <c r="D665" s="209">
        <v>160</v>
      </c>
      <c r="E665" s="210"/>
      <c r="F665" s="209">
        <f t="shared" si="10"/>
        <v>0</v>
      </c>
      <c r="G665" s="207" t="s">
        <v>778</v>
      </c>
      <c r="H665" s="208"/>
    </row>
    <row r="666" spans="1:8" ht="15.75" customHeight="1" x14ac:dyDescent="0.25">
      <c r="A666" s="212" t="s">
        <v>1541</v>
      </c>
      <c r="B666" s="207" t="s">
        <v>1493</v>
      </c>
      <c r="C666" s="208"/>
      <c r="D666" s="213">
        <v>16.649999999999999</v>
      </c>
      <c r="E666" s="210">
        <v>1</v>
      </c>
      <c r="F666" s="209">
        <f t="shared" si="10"/>
        <v>16.649999999999999</v>
      </c>
      <c r="G666" s="211" t="s">
        <v>974</v>
      </c>
      <c r="H666" s="208"/>
    </row>
    <row r="667" spans="1:8" ht="15.75" customHeight="1" x14ac:dyDescent="0.25">
      <c r="A667" s="212" t="s">
        <v>1542</v>
      </c>
      <c r="B667" s="207" t="s">
        <v>1493</v>
      </c>
      <c r="C667" s="208"/>
      <c r="D667" s="209">
        <v>3.2</v>
      </c>
      <c r="E667" s="210">
        <v>5</v>
      </c>
      <c r="F667" s="209">
        <f t="shared" si="10"/>
        <v>16</v>
      </c>
      <c r="G667" s="211" t="s">
        <v>974</v>
      </c>
      <c r="H667" s="208"/>
    </row>
    <row r="668" spans="1:8" ht="15.75" customHeight="1" x14ac:dyDescent="0.25">
      <c r="A668" s="212" t="s">
        <v>1543</v>
      </c>
      <c r="B668" s="207" t="s">
        <v>1493</v>
      </c>
      <c r="C668" s="208">
        <v>10</v>
      </c>
      <c r="D668" s="213">
        <v>76</v>
      </c>
      <c r="E668" s="210">
        <v>1.5</v>
      </c>
      <c r="F668" s="209">
        <f t="shared" ref="F668:F734" si="11">D668:D668*E668:E668</f>
        <v>114</v>
      </c>
      <c r="G668" s="211" t="s">
        <v>767</v>
      </c>
      <c r="H668" s="208"/>
    </row>
    <row r="669" spans="1:8" ht="15.75" customHeight="1" x14ac:dyDescent="0.25">
      <c r="A669" s="212" t="s">
        <v>1544</v>
      </c>
      <c r="B669" s="207" t="s">
        <v>1493</v>
      </c>
      <c r="C669" s="208">
        <v>0.4</v>
      </c>
      <c r="D669" s="209">
        <v>2.4300000000000002</v>
      </c>
      <c r="E669" s="210">
        <v>2</v>
      </c>
      <c r="F669" s="209">
        <f t="shared" si="11"/>
        <v>4.8600000000000003</v>
      </c>
      <c r="G669" s="211" t="s">
        <v>767</v>
      </c>
      <c r="H669" s="208"/>
    </row>
    <row r="670" spans="1:8" ht="15.75" customHeight="1" x14ac:dyDescent="0.25">
      <c r="A670" s="212" t="s">
        <v>1545</v>
      </c>
      <c r="B670" s="207" t="s">
        <v>1493</v>
      </c>
      <c r="C670" s="208">
        <v>1</v>
      </c>
      <c r="D670" s="209">
        <v>17.05</v>
      </c>
      <c r="E670" s="210"/>
      <c r="F670" s="209">
        <f t="shared" si="11"/>
        <v>0</v>
      </c>
      <c r="G670" s="207"/>
      <c r="H670" s="208"/>
    </row>
    <row r="671" spans="1:8" ht="15.75" customHeight="1" x14ac:dyDescent="0.25">
      <c r="A671" s="212" t="s">
        <v>1546</v>
      </c>
      <c r="B671" s="207" t="s">
        <v>1493</v>
      </c>
      <c r="C671" s="208">
        <v>0.4</v>
      </c>
      <c r="D671" s="209">
        <v>3</v>
      </c>
      <c r="E671" s="210"/>
      <c r="F671" s="209">
        <f t="shared" si="11"/>
        <v>0</v>
      </c>
      <c r="G671" s="207"/>
      <c r="H671" s="208"/>
    </row>
    <row r="672" spans="1:8" ht="15.75" customHeight="1" x14ac:dyDescent="0.25">
      <c r="A672" s="212" t="s">
        <v>1547</v>
      </c>
      <c r="B672" s="207" t="s">
        <v>1493</v>
      </c>
      <c r="C672" s="208">
        <v>3</v>
      </c>
      <c r="D672" s="209">
        <v>19.850000000000001</v>
      </c>
      <c r="E672" s="210">
        <v>1</v>
      </c>
      <c r="F672" s="209">
        <f t="shared" si="11"/>
        <v>19.850000000000001</v>
      </c>
      <c r="G672" s="211" t="s">
        <v>785</v>
      </c>
      <c r="H672" s="208"/>
    </row>
    <row r="673" spans="1:8" ht="15.75" customHeight="1" x14ac:dyDescent="0.25">
      <c r="A673" s="212" t="s">
        <v>1548</v>
      </c>
      <c r="B673" s="207" t="s">
        <v>1493</v>
      </c>
      <c r="C673" s="208"/>
      <c r="D673" s="209">
        <v>2.44</v>
      </c>
      <c r="E673" s="210">
        <v>1.3</v>
      </c>
      <c r="F673" s="209">
        <f t="shared" si="11"/>
        <v>3.1720000000000002</v>
      </c>
      <c r="G673" s="211" t="s">
        <v>767</v>
      </c>
      <c r="H673" s="208"/>
    </row>
    <row r="674" spans="1:8" ht="15.75" customHeight="1" x14ac:dyDescent="0.25">
      <c r="A674" s="212" t="s">
        <v>1549</v>
      </c>
      <c r="B674" s="207" t="s">
        <v>1493</v>
      </c>
      <c r="C674" s="208"/>
      <c r="D674" s="209">
        <v>35.1</v>
      </c>
      <c r="E674" s="210">
        <v>1.8</v>
      </c>
      <c r="F674" s="209">
        <f t="shared" si="11"/>
        <v>63.180000000000007</v>
      </c>
      <c r="G674" s="211" t="s">
        <v>767</v>
      </c>
      <c r="H674" s="208"/>
    </row>
    <row r="675" spans="1:8" ht="15.75" customHeight="1" x14ac:dyDescent="0.25">
      <c r="A675" s="212" t="s">
        <v>1550</v>
      </c>
      <c r="B675" s="207" t="s">
        <v>1493</v>
      </c>
      <c r="C675" s="208">
        <v>1.8</v>
      </c>
      <c r="D675" s="209">
        <v>9.75</v>
      </c>
      <c r="E675" s="210">
        <v>3</v>
      </c>
      <c r="F675" s="209">
        <f>D675:D675*E675:E675</f>
        <v>29.25</v>
      </c>
      <c r="G675" s="211" t="s">
        <v>974</v>
      </c>
      <c r="H675" s="208"/>
    </row>
    <row r="676" spans="1:8" ht="15.75" customHeight="1" x14ac:dyDescent="0.25">
      <c r="A676" s="212" t="s">
        <v>1551</v>
      </c>
      <c r="B676" s="207" t="s">
        <v>1493</v>
      </c>
      <c r="C676" s="208">
        <v>1.8</v>
      </c>
      <c r="D676" s="209">
        <v>9.75</v>
      </c>
      <c r="E676" s="210">
        <v>3</v>
      </c>
      <c r="F676" s="209">
        <f>D676:D676*E676:E676</f>
        <v>29.25</v>
      </c>
      <c r="G676" s="211" t="s">
        <v>974</v>
      </c>
      <c r="H676" s="208"/>
    </row>
    <row r="677" spans="1:8" ht="15.75" customHeight="1" x14ac:dyDescent="0.25">
      <c r="A677" s="212" t="s">
        <v>1552</v>
      </c>
      <c r="B677" s="208"/>
      <c r="C677" s="208">
        <v>1.8</v>
      </c>
      <c r="D677" s="209">
        <v>9.6</v>
      </c>
      <c r="E677" s="210">
        <v>0</v>
      </c>
      <c r="F677" s="209">
        <f t="shared" si="11"/>
        <v>0</v>
      </c>
      <c r="G677" s="211" t="s">
        <v>778</v>
      </c>
      <c r="H677" s="208"/>
    </row>
    <row r="678" spans="1:8" ht="15.75" customHeight="1" x14ac:dyDescent="0.25">
      <c r="A678" s="212" t="s">
        <v>1553</v>
      </c>
      <c r="B678" s="208" t="s">
        <v>1493</v>
      </c>
      <c r="C678" s="208" t="s">
        <v>1554</v>
      </c>
      <c r="D678" s="209">
        <v>9.85</v>
      </c>
      <c r="E678" s="210">
        <v>2.4</v>
      </c>
      <c r="F678" s="209">
        <f>D678:D678*E678:E678</f>
        <v>23.639999999999997</v>
      </c>
      <c r="G678" s="211" t="s">
        <v>767</v>
      </c>
      <c r="H678" s="208"/>
    </row>
    <row r="679" spans="1:8" ht="15.75" customHeight="1" x14ac:dyDescent="0.25">
      <c r="A679" s="212" t="s">
        <v>1555</v>
      </c>
      <c r="B679" s="208" t="s">
        <v>1493</v>
      </c>
      <c r="C679" s="208" t="s">
        <v>1554</v>
      </c>
      <c r="D679" s="209">
        <v>2.65</v>
      </c>
      <c r="E679" s="210">
        <v>2.9</v>
      </c>
      <c r="F679" s="209">
        <f t="shared" si="11"/>
        <v>7.6849999999999996</v>
      </c>
      <c r="G679" s="211" t="s">
        <v>767</v>
      </c>
      <c r="H679" s="208"/>
    </row>
    <row r="680" spans="1:8" ht="15.75" customHeight="1" x14ac:dyDescent="0.25">
      <c r="A680" s="212"/>
      <c r="B680" s="208"/>
      <c r="C680" s="208"/>
      <c r="D680" s="209"/>
      <c r="E680" s="210"/>
      <c r="F680" s="209">
        <f t="shared" si="11"/>
        <v>0</v>
      </c>
      <c r="G680" s="211"/>
      <c r="H680" s="208"/>
    </row>
    <row r="681" spans="1:8" ht="15.75" customHeight="1" x14ac:dyDescent="0.25">
      <c r="A681" s="212" t="s">
        <v>1556</v>
      </c>
      <c r="B681" s="207" t="s">
        <v>1493</v>
      </c>
      <c r="C681" s="208"/>
      <c r="D681" s="209">
        <v>12.1</v>
      </c>
      <c r="E681" s="210">
        <v>3.6</v>
      </c>
      <c r="F681" s="209">
        <f t="shared" si="11"/>
        <v>43.56</v>
      </c>
      <c r="G681" s="211" t="s">
        <v>767</v>
      </c>
      <c r="H681" s="208"/>
    </row>
    <row r="682" spans="1:8" ht="15.75" customHeight="1" x14ac:dyDescent="0.25">
      <c r="A682" s="212" t="s">
        <v>1557</v>
      </c>
      <c r="B682" s="207" t="s">
        <v>1493</v>
      </c>
      <c r="C682" s="208">
        <v>1</v>
      </c>
      <c r="D682" s="209">
        <v>40.85</v>
      </c>
      <c r="E682" s="210">
        <v>2</v>
      </c>
      <c r="F682" s="209">
        <f t="shared" si="11"/>
        <v>81.7</v>
      </c>
      <c r="G682" s="211" t="s">
        <v>767</v>
      </c>
      <c r="H682" s="208"/>
    </row>
    <row r="683" spans="1:8" ht="13.5" customHeight="1" x14ac:dyDescent="0.25">
      <c r="A683" s="212" t="s">
        <v>1558</v>
      </c>
      <c r="B683" s="207" t="s">
        <v>1493</v>
      </c>
      <c r="C683" s="208">
        <v>0.8</v>
      </c>
      <c r="D683" s="209">
        <v>23.55</v>
      </c>
      <c r="E683" s="210"/>
      <c r="F683" s="209">
        <f t="shared" si="11"/>
        <v>0</v>
      </c>
      <c r="G683" s="207" t="s">
        <v>778</v>
      </c>
      <c r="H683" s="208"/>
    </row>
    <row r="684" spans="1:8" ht="15.75" customHeight="1" x14ac:dyDescent="0.25">
      <c r="A684" s="212" t="s">
        <v>1559</v>
      </c>
      <c r="B684" s="207" t="s">
        <v>1493</v>
      </c>
      <c r="C684" s="208">
        <v>1.8</v>
      </c>
      <c r="D684" s="209">
        <v>24.65</v>
      </c>
      <c r="E684" s="210"/>
      <c r="F684" s="209">
        <f t="shared" si="11"/>
        <v>0</v>
      </c>
      <c r="G684" s="207" t="s">
        <v>778</v>
      </c>
      <c r="H684" s="208"/>
    </row>
    <row r="685" spans="1:8" ht="15.75" customHeight="1" x14ac:dyDescent="0.25">
      <c r="A685" s="212" t="s">
        <v>1560</v>
      </c>
      <c r="B685" s="207"/>
      <c r="C685" s="207" t="s">
        <v>1343</v>
      </c>
      <c r="D685" s="209">
        <v>24</v>
      </c>
      <c r="E685" s="210">
        <v>0.25</v>
      </c>
      <c r="F685" s="209">
        <f>D685:D685*E685:E685</f>
        <v>6</v>
      </c>
      <c r="G685" s="211" t="s">
        <v>767</v>
      </c>
      <c r="H685" s="208"/>
    </row>
    <row r="686" spans="1:8" ht="14.25" customHeight="1" x14ac:dyDescent="0.25">
      <c r="A686" s="207" t="s">
        <v>1561</v>
      </c>
      <c r="B686" s="207" t="s">
        <v>1562</v>
      </c>
      <c r="C686" s="208"/>
      <c r="D686" s="209">
        <v>11.9</v>
      </c>
      <c r="E686" s="208">
        <v>1.2</v>
      </c>
      <c r="F686" s="209">
        <f t="shared" si="11"/>
        <v>14.28</v>
      </c>
      <c r="G686" s="211" t="s">
        <v>767</v>
      </c>
      <c r="H686" s="208"/>
    </row>
    <row r="687" spans="1:8" ht="13.5" customHeight="1" x14ac:dyDescent="0.25">
      <c r="A687" s="212" t="s">
        <v>1563</v>
      </c>
      <c r="B687" s="208"/>
      <c r="C687" s="208"/>
      <c r="D687" s="213">
        <v>11.9</v>
      </c>
      <c r="E687" s="210">
        <v>0.35</v>
      </c>
      <c r="F687" s="209">
        <f t="shared" si="11"/>
        <v>4.165</v>
      </c>
      <c r="G687" s="211" t="s">
        <v>767</v>
      </c>
      <c r="H687" s="208"/>
    </row>
    <row r="688" spans="1:8" ht="13.5" customHeight="1" x14ac:dyDescent="0.25">
      <c r="A688" s="207" t="s">
        <v>1564</v>
      </c>
      <c r="B688" s="207" t="s">
        <v>1562</v>
      </c>
      <c r="C688" s="208"/>
      <c r="D688" s="209">
        <v>13.3</v>
      </c>
      <c r="E688" s="208">
        <v>0</v>
      </c>
      <c r="F688" s="209">
        <f t="shared" si="11"/>
        <v>0</v>
      </c>
      <c r="G688" s="211" t="s">
        <v>900</v>
      </c>
      <c r="H688" s="208"/>
    </row>
    <row r="689" spans="1:8" ht="15.75" customHeight="1" x14ac:dyDescent="0.25">
      <c r="A689" s="207" t="s">
        <v>1565</v>
      </c>
      <c r="B689" s="207" t="s">
        <v>1562</v>
      </c>
      <c r="C689" s="208">
        <v>13</v>
      </c>
      <c r="D689" s="209">
        <v>174.2</v>
      </c>
      <c r="E689" s="208">
        <v>3.4</v>
      </c>
      <c r="F689" s="209">
        <f t="shared" si="11"/>
        <v>592.28</v>
      </c>
      <c r="G689" s="211" t="s">
        <v>900</v>
      </c>
      <c r="H689" s="208"/>
    </row>
    <row r="690" spans="1:8" ht="15.75" customHeight="1" x14ac:dyDescent="0.25">
      <c r="A690" s="207" t="s">
        <v>1566</v>
      </c>
      <c r="B690" s="207" t="s">
        <v>1562</v>
      </c>
      <c r="C690" s="208"/>
      <c r="D690" s="209">
        <v>13.4</v>
      </c>
      <c r="E690" s="208">
        <v>21</v>
      </c>
      <c r="F690" s="209">
        <f t="shared" si="11"/>
        <v>281.40000000000003</v>
      </c>
      <c r="G690" s="211" t="s">
        <v>900</v>
      </c>
      <c r="H690" s="208"/>
    </row>
    <row r="691" spans="1:8" ht="15.75" customHeight="1" x14ac:dyDescent="0.25">
      <c r="A691" s="212" t="s">
        <v>1567</v>
      </c>
      <c r="B691" s="208"/>
      <c r="C691" s="208">
        <v>10</v>
      </c>
      <c r="D691" s="209">
        <v>124</v>
      </c>
      <c r="E691" s="208">
        <v>1.5</v>
      </c>
      <c r="F691" s="209">
        <f t="shared" si="11"/>
        <v>186</v>
      </c>
      <c r="G691" s="211" t="s">
        <v>900</v>
      </c>
      <c r="H691" s="208"/>
    </row>
    <row r="692" spans="1:8" ht="13.5" customHeight="1" x14ac:dyDescent="0.25">
      <c r="A692" s="212" t="s">
        <v>1568</v>
      </c>
      <c r="B692" s="208"/>
      <c r="C692" s="208">
        <v>5</v>
      </c>
      <c r="D692" s="209">
        <v>80</v>
      </c>
      <c r="E692" s="208">
        <v>1.2</v>
      </c>
      <c r="F692" s="209">
        <f t="shared" si="11"/>
        <v>96</v>
      </c>
      <c r="G692" s="208"/>
      <c r="H692" s="208"/>
    </row>
    <row r="693" spans="1:8" ht="15.75" customHeight="1" x14ac:dyDescent="0.25">
      <c r="A693" s="212" t="s">
        <v>1569</v>
      </c>
      <c r="B693" s="208"/>
      <c r="C693" s="208"/>
      <c r="D693" s="209">
        <v>13.5</v>
      </c>
      <c r="E693" s="208">
        <v>17.2</v>
      </c>
      <c r="F693" s="209">
        <f t="shared" si="11"/>
        <v>232.2</v>
      </c>
      <c r="G693" s="211" t="s">
        <v>900</v>
      </c>
      <c r="H693" s="208"/>
    </row>
    <row r="694" spans="1:8" ht="16.5" customHeight="1" x14ac:dyDescent="0.25">
      <c r="A694" s="207" t="s">
        <v>1570</v>
      </c>
      <c r="B694" s="207" t="s">
        <v>1562</v>
      </c>
      <c r="C694" s="208"/>
      <c r="D694" s="209">
        <v>8.3000000000000007</v>
      </c>
      <c r="E694" s="208">
        <v>2</v>
      </c>
      <c r="F694" s="209">
        <f t="shared" si="11"/>
        <v>16.600000000000001</v>
      </c>
      <c r="G694" s="208"/>
      <c r="H694" s="208"/>
    </row>
    <row r="695" spans="1:8" ht="16.5" customHeight="1" x14ac:dyDescent="0.25">
      <c r="A695" s="212" t="s">
        <v>1571</v>
      </c>
      <c r="B695" s="208"/>
      <c r="C695" s="208">
        <v>10</v>
      </c>
      <c r="D695" s="213">
        <v>189</v>
      </c>
      <c r="E695" s="208">
        <v>0.86</v>
      </c>
      <c r="F695" s="209">
        <f t="shared" si="11"/>
        <v>162.54</v>
      </c>
      <c r="G695" s="211" t="s">
        <v>900</v>
      </c>
      <c r="H695" s="208"/>
    </row>
    <row r="696" spans="1:8" ht="13.5" customHeight="1" x14ac:dyDescent="0.25">
      <c r="A696" s="207" t="s">
        <v>1572</v>
      </c>
      <c r="B696" s="207" t="s">
        <v>1562</v>
      </c>
      <c r="C696" s="208">
        <v>15</v>
      </c>
      <c r="D696" s="213">
        <v>224.25</v>
      </c>
      <c r="E696" s="208"/>
      <c r="F696" s="209">
        <f t="shared" si="11"/>
        <v>0</v>
      </c>
      <c r="G696" s="207" t="s">
        <v>1022</v>
      </c>
      <c r="H696" s="208"/>
    </row>
    <row r="697" spans="1:8" ht="13.5" customHeight="1" x14ac:dyDescent="0.25">
      <c r="A697" s="207" t="s">
        <v>1573</v>
      </c>
      <c r="B697" s="207" t="s">
        <v>1562</v>
      </c>
      <c r="C697" s="208"/>
      <c r="D697" s="213">
        <v>13.5</v>
      </c>
      <c r="E697" s="208">
        <v>1.5</v>
      </c>
      <c r="F697" s="209">
        <f t="shared" si="11"/>
        <v>20.25</v>
      </c>
      <c r="G697" s="211" t="s">
        <v>767</v>
      </c>
      <c r="H697" s="208"/>
    </row>
    <row r="698" spans="1:8" ht="13.5" customHeight="1" x14ac:dyDescent="0.25">
      <c r="A698" s="207" t="s">
        <v>1574</v>
      </c>
      <c r="B698" s="207" t="s">
        <v>1562</v>
      </c>
      <c r="C698" s="208"/>
      <c r="D698" s="209">
        <v>23.5</v>
      </c>
      <c r="E698" s="208">
        <v>2.16</v>
      </c>
      <c r="F698" s="209">
        <f t="shared" si="11"/>
        <v>50.760000000000005</v>
      </c>
      <c r="G698" s="207" t="s">
        <v>767</v>
      </c>
      <c r="H698" s="208"/>
    </row>
    <row r="699" spans="1:8" ht="15" customHeight="1" x14ac:dyDescent="0.25">
      <c r="A699" s="207" t="s">
        <v>1575</v>
      </c>
      <c r="B699" s="207" t="s">
        <v>1562</v>
      </c>
      <c r="C699" s="208"/>
      <c r="D699" s="209">
        <v>4.4000000000000004</v>
      </c>
      <c r="E699" s="208">
        <v>7.19</v>
      </c>
      <c r="F699" s="209">
        <f t="shared" si="11"/>
        <v>31.636000000000003</v>
      </c>
      <c r="G699" s="207" t="s">
        <v>913</v>
      </c>
      <c r="H699" s="208"/>
    </row>
    <row r="700" spans="1:8" ht="18" customHeight="1" x14ac:dyDescent="0.25">
      <c r="A700" s="207" t="s">
        <v>1576</v>
      </c>
      <c r="B700" s="207" t="s">
        <v>1562</v>
      </c>
      <c r="C700" s="208"/>
      <c r="D700" s="209">
        <v>1.7</v>
      </c>
      <c r="E700" s="208"/>
      <c r="F700" s="209">
        <f t="shared" si="11"/>
        <v>0</v>
      </c>
      <c r="G700" s="208"/>
      <c r="H700" s="208"/>
    </row>
    <row r="701" spans="1:8" ht="12.75" customHeight="1" x14ac:dyDescent="0.25">
      <c r="A701" s="223" t="s">
        <v>1577</v>
      </c>
      <c r="B701" s="207" t="s">
        <v>1562</v>
      </c>
      <c r="C701" s="208"/>
      <c r="D701" s="209">
        <v>17.899999999999999</v>
      </c>
      <c r="E701" s="208">
        <v>0.73</v>
      </c>
      <c r="F701" s="209">
        <f t="shared" si="11"/>
        <v>13.066999999999998</v>
      </c>
      <c r="G701" s="211" t="s">
        <v>767</v>
      </c>
      <c r="H701" s="208"/>
    </row>
    <row r="702" spans="1:8" ht="12.95" customHeight="1" x14ac:dyDescent="0.25">
      <c r="A702" s="224" t="s">
        <v>1578</v>
      </c>
      <c r="B702" s="207" t="s">
        <v>1562</v>
      </c>
      <c r="C702" s="208"/>
      <c r="D702" s="209">
        <v>8.5</v>
      </c>
      <c r="E702" s="208"/>
      <c r="F702" s="209">
        <f t="shared" si="11"/>
        <v>0</v>
      </c>
      <c r="G702" s="208"/>
      <c r="H702" s="208"/>
    </row>
    <row r="703" spans="1:8" ht="15" customHeight="1" x14ac:dyDescent="0.25">
      <c r="A703" s="207" t="s">
        <v>1579</v>
      </c>
      <c r="B703" s="207" t="s">
        <v>1562</v>
      </c>
      <c r="C703" s="208"/>
      <c r="D703" s="209">
        <v>3.3</v>
      </c>
      <c r="E703" s="208"/>
      <c r="F703" s="209">
        <f t="shared" si="11"/>
        <v>0</v>
      </c>
      <c r="G703" s="208"/>
      <c r="H703" s="208"/>
    </row>
    <row r="704" spans="1:8" ht="15" customHeight="1" x14ac:dyDescent="0.25">
      <c r="A704" s="207" t="s">
        <v>1580</v>
      </c>
      <c r="B704" s="207" t="s">
        <v>1562</v>
      </c>
      <c r="C704" s="208"/>
      <c r="D704" s="209">
        <v>3.8</v>
      </c>
      <c r="E704" s="208"/>
      <c r="F704" s="209">
        <f t="shared" si="11"/>
        <v>0</v>
      </c>
      <c r="G704" s="208"/>
      <c r="H704" s="208"/>
    </row>
    <row r="705" spans="1:10" ht="11.25" customHeight="1" x14ac:dyDescent="0.25">
      <c r="A705" s="207" t="s">
        <v>1581</v>
      </c>
      <c r="B705" s="207" t="s">
        <v>1562</v>
      </c>
      <c r="C705" s="208"/>
      <c r="D705" s="209">
        <v>2.4</v>
      </c>
      <c r="E705" s="208">
        <v>5.04</v>
      </c>
      <c r="F705" s="209">
        <f t="shared" si="11"/>
        <v>12.096</v>
      </c>
      <c r="G705" s="211" t="s">
        <v>974</v>
      </c>
      <c r="H705" s="208"/>
    </row>
    <row r="706" spans="1:10" ht="14.1" customHeight="1" x14ac:dyDescent="0.25">
      <c r="A706" s="207" t="s">
        <v>1582</v>
      </c>
      <c r="B706" s="207" t="s">
        <v>1562</v>
      </c>
      <c r="C706" s="208"/>
      <c r="D706" s="209">
        <v>3.8</v>
      </c>
      <c r="E706" s="208"/>
      <c r="F706" s="209">
        <f t="shared" si="11"/>
        <v>0</v>
      </c>
      <c r="G706" s="209"/>
      <c r="H706" s="208"/>
    </row>
    <row r="707" spans="1:10" ht="13.5" customHeight="1" x14ac:dyDescent="0.25">
      <c r="A707" s="207" t="s">
        <v>1583</v>
      </c>
      <c r="B707" s="207" t="s">
        <v>1562</v>
      </c>
      <c r="C707" s="208"/>
      <c r="D707" s="209">
        <v>4.5</v>
      </c>
      <c r="E707" s="208">
        <v>0.9</v>
      </c>
      <c r="F707" s="209">
        <f t="shared" si="11"/>
        <v>4.05</v>
      </c>
      <c r="G707" s="211" t="s">
        <v>767</v>
      </c>
      <c r="H707" s="208"/>
    </row>
    <row r="708" spans="1:10" ht="13.5" customHeight="1" x14ac:dyDescent="0.25">
      <c r="A708" s="212" t="s">
        <v>1584</v>
      </c>
      <c r="B708" s="208"/>
      <c r="C708" s="208"/>
      <c r="D708" s="213">
        <v>55.4</v>
      </c>
      <c r="E708" s="210">
        <v>0.52</v>
      </c>
      <c r="F708" s="209">
        <f t="shared" si="11"/>
        <v>28.808</v>
      </c>
      <c r="G708" s="211" t="s">
        <v>767</v>
      </c>
      <c r="H708" s="208"/>
    </row>
    <row r="709" spans="1:10" ht="13.5" customHeight="1" x14ac:dyDescent="0.25">
      <c r="A709" s="207" t="s">
        <v>1585</v>
      </c>
      <c r="B709" s="207" t="s">
        <v>1562</v>
      </c>
      <c r="C709" s="208"/>
      <c r="D709" s="209">
        <v>14.6</v>
      </c>
      <c r="E709" s="208"/>
      <c r="F709" s="209">
        <f t="shared" si="11"/>
        <v>0</v>
      </c>
      <c r="G709" s="208"/>
      <c r="H709" s="208"/>
    </row>
    <row r="710" spans="1:10" ht="14.25" customHeight="1" x14ac:dyDescent="0.25">
      <c r="A710" s="207" t="s">
        <v>1586</v>
      </c>
      <c r="B710" s="207" t="s">
        <v>1562</v>
      </c>
      <c r="C710" s="208"/>
      <c r="D710" s="209">
        <v>17.2</v>
      </c>
      <c r="E710" s="208">
        <v>22.5</v>
      </c>
      <c r="F710" s="209">
        <f t="shared" si="11"/>
        <v>387</v>
      </c>
      <c r="G710" s="209"/>
      <c r="H710" s="208"/>
      <c r="J710" s="203">
        <f>385.56/22.68</f>
        <v>17</v>
      </c>
    </row>
    <row r="711" spans="1:10" ht="14.1" customHeight="1" x14ac:dyDescent="0.25">
      <c r="A711" s="207" t="s">
        <v>1587</v>
      </c>
      <c r="B711" s="207" t="s">
        <v>1562</v>
      </c>
      <c r="C711" s="208"/>
      <c r="D711" s="209">
        <v>6.2</v>
      </c>
      <c r="E711" s="208">
        <v>0.88</v>
      </c>
      <c r="F711" s="209">
        <f t="shared" si="11"/>
        <v>5.4560000000000004</v>
      </c>
      <c r="G711" s="209" t="s">
        <v>767</v>
      </c>
      <c r="H711" s="208"/>
    </row>
    <row r="712" spans="1:10" ht="13.5" customHeight="1" x14ac:dyDescent="0.25">
      <c r="A712" s="207" t="s">
        <v>1588</v>
      </c>
      <c r="B712" s="208"/>
      <c r="C712" s="208"/>
      <c r="D712" s="209">
        <v>18.5</v>
      </c>
      <c r="E712" s="210">
        <v>13.7</v>
      </c>
      <c r="F712" s="209">
        <f t="shared" si="11"/>
        <v>253.45</v>
      </c>
      <c r="G712" s="211" t="s">
        <v>900</v>
      </c>
      <c r="H712" s="208"/>
    </row>
    <row r="713" spans="1:10" ht="13.5" customHeight="1" x14ac:dyDescent="0.25">
      <c r="A713" s="212" t="s">
        <v>1589</v>
      </c>
      <c r="B713" s="208"/>
      <c r="C713" s="208"/>
      <c r="D713" s="209">
        <v>13.5</v>
      </c>
      <c r="E713" s="210"/>
      <c r="F713" s="209">
        <f t="shared" si="11"/>
        <v>0</v>
      </c>
      <c r="G713" s="208"/>
      <c r="H713" s="208"/>
      <c r="J713" s="203">
        <f>306.18/22.68</f>
        <v>13.5</v>
      </c>
    </row>
    <row r="714" spans="1:10" ht="13.5" customHeight="1" x14ac:dyDescent="0.25">
      <c r="A714" s="211" t="s">
        <v>1590</v>
      </c>
      <c r="B714" s="207" t="s">
        <v>1562</v>
      </c>
      <c r="C714" s="208"/>
      <c r="D714" s="209">
        <v>11.5</v>
      </c>
      <c r="E714" s="208">
        <v>0.4</v>
      </c>
      <c r="F714" s="209">
        <f t="shared" si="11"/>
        <v>4.6000000000000005</v>
      </c>
      <c r="G714" s="211" t="s">
        <v>767</v>
      </c>
      <c r="H714" s="208"/>
    </row>
    <row r="715" spans="1:10" ht="13.5" customHeight="1" x14ac:dyDescent="0.25">
      <c r="A715" s="207" t="s">
        <v>1591</v>
      </c>
      <c r="B715" s="207" t="s">
        <v>1562</v>
      </c>
      <c r="C715" s="208"/>
      <c r="D715" s="209">
        <v>28</v>
      </c>
      <c r="E715" s="208">
        <v>7.3</v>
      </c>
      <c r="F715" s="209">
        <f t="shared" si="11"/>
        <v>204.4</v>
      </c>
      <c r="G715" s="214" t="s">
        <v>900</v>
      </c>
      <c r="H715" s="208"/>
    </row>
    <row r="716" spans="1:10" ht="15.75" customHeight="1" x14ac:dyDescent="0.25">
      <c r="A716" s="224" t="s">
        <v>1592</v>
      </c>
      <c r="B716" s="207" t="s">
        <v>1562</v>
      </c>
      <c r="C716" s="208"/>
      <c r="D716" s="209">
        <v>5.4</v>
      </c>
      <c r="E716" s="208">
        <v>6</v>
      </c>
      <c r="F716" s="209">
        <f t="shared" si="11"/>
        <v>32.400000000000006</v>
      </c>
      <c r="G716" s="207" t="s">
        <v>767</v>
      </c>
      <c r="H716" s="208"/>
    </row>
    <row r="717" spans="1:10" ht="13.5" customHeight="1" x14ac:dyDescent="0.25">
      <c r="A717" s="224" t="s">
        <v>1593</v>
      </c>
      <c r="B717" s="207" t="s">
        <v>1562</v>
      </c>
      <c r="C717" s="208"/>
      <c r="D717" s="209">
        <v>8.4</v>
      </c>
      <c r="E717" s="208">
        <v>1</v>
      </c>
      <c r="F717" s="209">
        <f t="shared" si="11"/>
        <v>8.4</v>
      </c>
      <c r="G717" s="207" t="s">
        <v>767</v>
      </c>
      <c r="H717" s="208"/>
    </row>
    <row r="718" spans="1:10" ht="13.5" customHeight="1" x14ac:dyDescent="0.25">
      <c r="A718" s="212" t="s">
        <v>1594</v>
      </c>
      <c r="B718" s="208"/>
      <c r="C718" s="208"/>
      <c r="D718" s="209">
        <v>11</v>
      </c>
      <c r="E718" s="210">
        <v>1.02</v>
      </c>
      <c r="F718" s="209">
        <f t="shared" si="11"/>
        <v>11.22</v>
      </c>
      <c r="G718" s="211" t="s">
        <v>767</v>
      </c>
      <c r="H718" s="208"/>
    </row>
    <row r="719" spans="1:10" ht="14.25" customHeight="1" x14ac:dyDescent="0.25">
      <c r="A719" s="207" t="s">
        <v>1595</v>
      </c>
      <c r="B719" s="207" t="s">
        <v>1562</v>
      </c>
      <c r="C719" s="208"/>
      <c r="D719" s="213">
        <v>25.5</v>
      </c>
      <c r="E719" s="208">
        <v>0.26</v>
      </c>
      <c r="F719" s="209">
        <f t="shared" si="11"/>
        <v>6.63</v>
      </c>
      <c r="G719" s="211" t="s">
        <v>767</v>
      </c>
      <c r="H719" s="208"/>
    </row>
    <row r="720" spans="1:10" ht="19.5" customHeight="1" x14ac:dyDescent="0.25">
      <c r="A720" s="207" t="s">
        <v>1596</v>
      </c>
      <c r="B720" s="207" t="s">
        <v>1562</v>
      </c>
      <c r="C720" s="208"/>
      <c r="D720" s="213">
        <v>26.4</v>
      </c>
      <c r="E720" s="208">
        <v>1.41</v>
      </c>
      <c r="F720" s="209">
        <f t="shared" si="11"/>
        <v>37.223999999999997</v>
      </c>
      <c r="G720" s="211" t="s">
        <v>767</v>
      </c>
      <c r="H720" s="208"/>
    </row>
    <row r="721" spans="1:8" ht="19.5" customHeight="1" x14ac:dyDescent="0.25">
      <c r="A721" s="212" t="s">
        <v>1597</v>
      </c>
      <c r="B721" s="208"/>
      <c r="C721" s="208"/>
      <c r="D721" s="213">
        <v>17.899999999999999</v>
      </c>
      <c r="E721" s="210">
        <v>0.15</v>
      </c>
      <c r="F721" s="209">
        <f t="shared" si="11"/>
        <v>2.6849999999999996</v>
      </c>
      <c r="G721" s="211" t="s">
        <v>767</v>
      </c>
      <c r="H721" s="208"/>
    </row>
    <row r="722" spans="1:8" ht="13.5" customHeight="1" x14ac:dyDescent="0.25">
      <c r="A722" s="207" t="s">
        <v>1598</v>
      </c>
      <c r="B722" s="207" t="s">
        <v>1562</v>
      </c>
      <c r="C722" s="208"/>
      <c r="D722" s="209">
        <v>173.75</v>
      </c>
      <c r="E722" s="208">
        <v>0.5</v>
      </c>
      <c r="F722" s="209">
        <f t="shared" si="11"/>
        <v>86.875</v>
      </c>
      <c r="G722" s="208"/>
      <c r="H722" s="208"/>
    </row>
    <row r="723" spans="1:8" ht="13.5" customHeight="1" x14ac:dyDescent="0.25">
      <c r="A723" s="224" t="s">
        <v>1599</v>
      </c>
      <c r="B723" s="207" t="s">
        <v>1562</v>
      </c>
      <c r="C723" s="208"/>
      <c r="D723" s="209">
        <v>10.25</v>
      </c>
      <c r="E723" s="208"/>
      <c r="F723" s="209">
        <f t="shared" si="11"/>
        <v>0</v>
      </c>
      <c r="G723" s="207"/>
      <c r="H723" s="208"/>
    </row>
    <row r="724" spans="1:8" ht="14.25" customHeight="1" x14ac:dyDescent="0.25">
      <c r="A724" s="207" t="s">
        <v>1600</v>
      </c>
      <c r="B724" s="207" t="s">
        <v>1562</v>
      </c>
      <c r="C724" s="208">
        <v>5</v>
      </c>
      <c r="D724" s="209">
        <v>57</v>
      </c>
      <c r="E724" s="208">
        <v>2</v>
      </c>
      <c r="F724" s="209">
        <f t="shared" si="11"/>
        <v>114</v>
      </c>
      <c r="G724" s="207" t="s">
        <v>767</v>
      </c>
      <c r="H724" s="208"/>
    </row>
    <row r="725" spans="1:8" ht="14.25" customHeight="1" x14ac:dyDescent="0.25">
      <c r="A725" s="207" t="s">
        <v>1601</v>
      </c>
      <c r="B725" s="207" t="s">
        <v>1562</v>
      </c>
      <c r="C725" s="208"/>
      <c r="D725" s="213">
        <v>5.75</v>
      </c>
      <c r="E725" s="208">
        <v>1</v>
      </c>
      <c r="F725" s="209">
        <f t="shared" si="11"/>
        <v>5.75</v>
      </c>
      <c r="G725" s="211" t="s">
        <v>767</v>
      </c>
      <c r="H725" s="208"/>
    </row>
    <row r="726" spans="1:8" ht="12.75" customHeight="1" x14ac:dyDescent="0.25">
      <c r="A726" s="207" t="s">
        <v>1602</v>
      </c>
      <c r="B726" s="207" t="s">
        <v>1562</v>
      </c>
      <c r="C726" s="208"/>
      <c r="D726" s="213">
        <v>5.9</v>
      </c>
      <c r="E726" s="208">
        <v>0.6</v>
      </c>
      <c r="F726" s="209">
        <f t="shared" si="11"/>
        <v>3.54</v>
      </c>
      <c r="G726" s="211" t="s">
        <v>767</v>
      </c>
      <c r="H726" s="208"/>
    </row>
    <row r="727" spans="1:8" ht="15" customHeight="1" x14ac:dyDescent="0.25">
      <c r="A727" s="207" t="s">
        <v>1603</v>
      </c>
      <c r="B727" s="207" t="s">
        <v>1562</v>
      </c>
      <c r="C727" s="208"/>
      <c r="D727" s="209">
        <v>7</v>
      </c>
      <c r="E727" s="208">
        <v>0.5</v>
      </c>
      <c r="F727" s="209">
        <f t="shared" si="11"/>
        <v>3.5</v>
      </c>
      <c r="G727" s="211" t="s">
        <v>767</v>
      </c>
      <c r="H727" s="208"/>
    </row>
    <row r="728" spans="1:8" ht="15" customHeight="1" x14ac:dyDescent="0.25">
      <c r="A728" s="207" t="s">
        <v>1604</v>
      </c>
      <c r="B728" s="207" t="s">
        <v>1562</v>
      </c>
      <c r="C728" s="208"/>
      <c r="D728" s="209">
        <v>24.7</v>
      </c>
      <c r="E728" s="210">
        <v>2</v>
      </c>
      <c r="F728" s="209">
        <f t="shared" si="11"/>
        <v>49.4</v>
      </c>
      <c r="G728" s="211" t="s">
        <v>767</v>
      </c>
      <c r="H728" s="208"/>
    </row>
    <row r="729" spans="1:8" ht="15.75" customHeight="1" x14ac:dyDescent="0.25">
      <c r="A729" s="212" t="s">
        <v>1605</v>
      </c>
      <c r="B729" s="208"/>
      <c r="C729" s="208"/>
      <c r="D729" s="209">
        <v>3.9</v>
      </c>
      <c r="E729" s="208"/>
      <c r="F729" s="209">
        <f t="shared" si="11"/>
        <v>0</v>
      </c>
      <c r="G729" s="208"/>
      <c r="H729" s="208"/>
    </row>
    <row r="730" spans="1:8" ht="15.75" customHeight="1" x14ac:dyDescent="0.25">
      <c r="A730" s="212" t="s">
        <v>1606</v>
      </c>
      <c r="B730" s="208"/>
      <c r="C730" s="208">
        <v>10</v>
      </c>
      <c r="D730" s="209">
        <v>96.39</v>
      </c>
      <c r="E730" s="208">
        <v>2.2999999999999998</v>
      </c>
      <c r="F730" s="209">
        <f t="shared" si="11"/>
        <v>221.69699999999997</v>
      </c>
      <c r="G730" s="211" t="s">
        <v>767</v>
      </c>
      <c r="H730" s="208"/>
    </row>
    <row r="731" spans="1:8" ht="15.75" customHeight="1" x14ac:dyDescent="0.25">
      <c r="A731" s="212" t="s">
        <v>1607</v>
      </c>
      <c r="B731" s="208"/>
      <c r="C731" s="208">
        <v>11.34</v>
      </c>
      <c r="D731" s="209">
        <v>124</v>
      </c>
      <c r="E731" s="208"/>
      <c r="F731" s="209">
        <f t="shared" si="11"/>
        <v>0</v>
      </c>
      <c r="G731" s="209"/>
      <c r="H731" s="208"/>
    </row>
    <row r="732" spans="1:8" ht="15.75" customHeight="1" x14ac:dyDescent="0.25">
      <c r="A732" s="212" t="s">
        <v>1608</v>
      </c>
      <c r="B732" s="208"/>
      <c r="C732" s="208">
        <v>12</v>
      </c>
      <c r="D732" s="209">
        <v>98.75</v>
      </c>
      <c r="E732" s="208">
        <v>11.2</v>
      </c>
      <c r="F732" s="209">
        <f t="shared" si="11"/>
        <v>1106</v>
      </c>
      <c r="G732" s="211" t="s">
        <v>767</v>
      </c>
      <c r="H732" s="208"/>
    </row>
    <row r="733" spans="1:8" ht="15.75" customHeight="1" x14ac:dyDescent="0.25">
      <c r="A733" s="212" t="s">
        <v>1609</v>
      </c>
      <c r="B733" s="208"/>
      <c r="C733" s="208">
        <v>12.5</v>
      </c>
      <c r="D733" s="209">
        <v>86.25</v>
      </c>
      <c r="E733" s="208"/>
      <c r="F733" s="209">
        <f t="shared" si="11"/>
        <v>0</v>
      </c>
      <c r="G733" s="208"/>
      <c r="H733" s="208"/>
    </row>
    <row r="734" spans="1:8" ht="15.75" customHeight="1" x14ac:dyDescent="0.25">
      <c r="A734" s="212" t="s">
        <v>1610</v>
      </c>
      <c r="B734" s="207" t="s">
        <v>1562</v>
      </c>
      <c r="C734" s="208">
        <v>0.7</v>
      </c>
      <c r="D734" s="209">
        <v>5.5</v>
      </c>
      <c r="E734" s="208">
        <v>0.5</v>
      </c>
      <c r="F734" s="209">
        <f t="shared" si="11"/>
        <v>2.75</v>
      </c>
      <c r="G734" s="211" t="s">
        <v>767</v>
      </c>
      <c r="H734" s="208"/>
    </row>
    <row r="735" spans="1:8" ht="15.75" customHeight="1" x14ac:dyDescent="0.25">
      <c r="A735" s="212" t="s">
        <v>1611</v>
      </c>
      <c r="B735" s="208"/>
      <c r="C735" s="208">
        <v>10</v>
      </c>
      <c r="D735" s="209">
        <v>37</v>
      </c>
      <c r="E735" s="208">
        <v>1.5</v>
      </c>
      <c r="F735" s="209">
        <f t="shared" ref="F735:F798" si="12">D735:D735*E735:E735</f>
        <v>55.5</v>
      </c>
      <c r="G735" s="208"/>
      <c r="H735" s="208"/>
    </row>
    <row r="736" spans="1:8" ht="15.75" customHeight="1" x14ac:dyDescent="0.25">
      <c r="A736" s="212" t="s">
        <v>1612</v>
      </c>
      <c r="B736" s="208"/>
      <c r="C736" s="208">
        <v>0.5</v>
      </c>
      <c r="D736" s="209">
        <v>55</v>
      </c>
      <c r="E736" s="208">
        <v>1</v>
      </c>
      <c r="F736" s="209">
        <f t="shared" si="12"/>
        <v>55</v>
      </c>
      <c r="G736" s="211" t="s">
        <v>767</v>
      </c>
      <c r="H736" s="208"/>
    </row>
    <row r="737" spans="1:8" ht="15.75" customHeight="1" x14ac:dyDescent="0.25">
      <c r="A737" s="212" t="s">
        <v>1613</v>
      </c>
      <c r="B737" s="208"/>
      <c r="C737" s="208"/>
      <c r="D737" s="209">
        <v>3</v>
      </c>
      <c r="E737" s="208"/>
      <c r="F737" s="209">
        <f t="shared" si="12"/>
        <v>0</v>
      </c>
      <c r="G737" s="209"/>
      <c r="H737" s="208"/>
    </row>
    <row r="738" spans="1:8" ht="13.5" customHeight="1" x14ac:dyDescent="0.25">
      <c r="A738" s="212" t="s">
        <v>1614</v>
      </c>
      <c r="B738" s="208"/>
      <c r="C738" s="208"/>
      <c r="D738" s="209">
        <v>6.1</v>
      </c>
      <c r="E738" s="208">
        <v>1.4</v>
      </c>
      <c r="F738" s="209">
        <f t="shared" si="12"/>
        <v>8.5399999999999991</v>
      </c>
      <c r="G738" s="211" t="s">
        <v>767</v>
      </c>
      <c r="H738" s="208"/>
    </row>
    <row r="739" spans="1:8" ht="13.5" customHeight="1" x14ac:dyDescent="0.25">
      <c r="A739" s="212" t="s">
        <v>1615</v>
      </c>
      <c r="B739" s="208"/>
      <c r="C739" s="208"/>
      <c r="D739" s="209">
        <v>60</v>
      </c>
      <c r="E739" s="208">
        <v>0</v>
      </c>
      <c r="F739" s="209">
        <f t="shared" si="12"/>
        <v>0</v>
      </c>
      <c r="G739" s="211" t="s">
        <v>974</v>
      </c>
      <c r="H739" s="208"/>
    </row>
    <row r="740" spans="1:8" ht="19.5" customHeight="1" x14ac:dyDescent="0.25">
      <c r="A740" s="207" t="s">
        <v>1616</v>
      </c>
      <c r="B740" s="207" t="s">
        <v>1562</v>
      </c>
      <c r="C740" s="208"/>
      <c r="D740" s="209">
        <v>5.5</v>
      </c>
      <c r="E740" s="208">
        <v>0.64</v>
      </c>
      <c r="F740" s="209">
        <f t="shared" si="12"/>
        <v>3.52</v>
      </c>
      <c r="G740" s="211" t="s">
        <v>767</v>
      </c>
      <c r="H740" s="208"/>
    </row>
    <row r="741" spans="1:8" ht="15.75" customHeight="1" x14ac:dyDescent="0.25">
      <c r="A741" s="207" t="s">
        <v>1617</v>
      </c>
      <c r="B741" s="207" t="s">
        <v>1562</v>
      </c>
      <c r="C741" s="208"/>
      <c r="D741" s="209">
        <v>2.7</v>
      </c>
      <c r="E741" s="208">
        <v>0.5</v>
      </c>
      <c r="F741" s="209">
        <f t="shared" si="12"/>
        <v>1.35</v>
      </c>
      <c r="G741" s="207" t="s">
        <v>767</v>
      </c>
      <c r="H741" s="208"/>
    </row>
    <row r="742" spans="1:8" ht="13.5" customHeight="1" x14ac:dyDescent="0.25">
      <c r="A742" s="207" t="s">
        <v>1618</v>
      </c>
      <c r="B742" s="207" t="s">
        <v>1562</v>
      </c>
      <c r="C742" s="208"/>
      <c r="D742" s="209">
        <v>5.5</v>
      </c>
      <c r="E742" s="208"/>
      <c r="F742" s="209">
        <f t="shared" si="12"/>
        <v>0</v>
      </c>
      <c r="G742" s="207"/>
      <c r="H742" s="208"/>
    </row>
    <row r="743" spans="1:8" ht="13.5" customHeight="1" x14ac:dyDescent="0.25">
      <c r="A743" s="207" t="s">
        <v>1619</v>
      </c>
      <c r="B743" s="207" t="s">
        <v>1562</v>
      </c>
      <c r="C743" s="208"/>
      <c r="D743" s="209">
        <v>20</v>
      </c>
      <c r="E743" s="208">
        <v>3.7</v>
      </c>
      <c r="F743" s="209">
        <f t="shared" si="12"/>
        <v>74</v>
      </c>
      <c r="G743" s="211" t="s">
        <v>767</v>
      </c>
      <c r="H743" s="208"/>
    </row>
    <row r="744" spans="1:8" ht="17.25" customHeight="1" x14ac:dyDescent="0.25">
      <c r="A744" s="207" t="s">
        <v>1620</v>
      </c>
      <c r="B744" s="207" t="s">
        <v>1562</v>
      </c>
      <c r="C744" s="208"/>
      <c r="D744" s="213">
        <v>18.600000000000001</v>
      </c>
      <c r="E744" s="208">
        <v>1.38</v>
      </c>
      <c r="F744" s="209">
        <f t="shared" si="12"/>
        <v>25.667999999999999</v>
      </c>
      <c r="G744" s="211" t="s">
        <v>767</v>
      </c>
      <c r="H744" s="208"/>
    </row>
    <row r="745" spans="1:8" ht="13.35" customHeight="1" x14ac:dyDescent="0.25">
      <c r="A745" s="207" t="s">
        <v>1621</v>
      </c>
      <c r="B745" s="207" t="s">
        <v>1562</v>
      </c>
      <c r="C745" s="208"/>
      <c r="D745" s="209">
        <v>2.8</v>
      </c>
      <c r="E745" s="208">
        <v>20</v>
      </c>
      <c r="F745" s="209">
        <f t="shared" si="12"/>
        <v>56</v>
      </c>
      <c r="G745" s="208"/>
      <c r="H745" s="208"/>
    </row>
    <row r="746" spans="1:8" ht="13.5" customHeight="1" x14ac:dyDescent="0.25">
      <c r="A746" s="207" t="s">
        <v>1622</v>
      </c>
      <c r="B746" s="207" t="s">
        <v>1562</v>
      </c>
      <c r="C746" s="208"/>
      <c r="D746" s="209">
        <v>15</v>
      </c>
      <c r="E746" s="208"/>
      <c r="F746" s="209">
        <f t="shared" si="12"/>
        <v>0</v>
      </c>
      <c r="G746" s="208"/>
      <c r="H746" s="208"/>
    </row>
    <row r="747" spans="1:8" ht="13.5" customHeight="1" x14ac:dyDescent="0.25">
      <c r="A747" s="207" t="s">
        <v>1623</v>
      </c>
      <c r="B747" s="207" t="s">
        <v>1562</v>
      </c>
      <c r="C747" s="208"/>
      <c r="D747" s="209">
        <v>18</v>
      </c>
      <c r="E747" s="208">
        <v>7.9</v>
      </c>
      <c r="F747" s="209">
        <f t="shared" si="12"/>
        <v>142.20000000000002</v>
      </c>
      <c r="G747" s="214" t="s">
        <v>900</v>
      </c>
      <c r="H747" s="208"/>
    </row>
    <row r="748" spans="1:8" ht="14.25" customHeight="1" x14ac:dyDescent="0.25">
      <c r="A748" s="207" t="s">
        <v>1624</v>
      </c>
      <c r="B748" s="207" t="s">
        <v>1562</v>
      </c>
      <c r="C748" s="208"/>
      <c r="D748" s="209">
        <v>19.899999999999999</v>
      </c>
      <c r="E748" s="208"/>
      <c r="F748" s="209">
        <f t="shared" si="12"/>
        <v>0</v>
      </c>
      <c r="G748" s="208"/>
      <c r="H748" s="208"/>
    </row>
    <row r="749" spans="1:8" ht="12.75" customHeight="1" x14ac:dyDescent="0.25">
      <c r="A749" s="224" t="s">
        <v>1625</v>
      </c>
      <c r="B749" s="207" t="s">
        <v>1562</v>
      </c>
      <c r="C749" s="208"/>
      <c r="D749" s="209">
        <v>40.5</v>
      </c>
      <c r="E749" s="208"/>
      <c r="F749" s="209">
        <f t="shared" si="12"/>
        <v>0</v>
      </c>
      <c r="G749" s="208"/>
      <c r="H749" s="208"/>
    </row>
    <row r="750" spans="1:8" ht="15" customHeight="1" x14ac:dyDescent="0.25">
      <c r="A750" s="212" t="s">
        <v>1626</v>
      </c>
      <c r="B750" s="208"/>
      <c r="C750" s="208">
        <v>3.5</v>
      </c>
      <c r="D750" s="209">
        <v>26</v>
      </c>
      <c r="E750" s="208">
        <v>2</v>
      </c>
      <c r="F750" s="209">
        <f t="shared" si="12"/>
        <v>52</v>
      </c>
      <c r="G750" s="208"/>
      <c r="H750" s="208"/>
    </row>
    <row r="751" spans="1:8" ht="18" customHeight="1" x14ac:dyDescent="0.25">
      <c r="A751" s="207" t="s">
        <v>1627</v>
      </c>
      <c r="B751" s="207" t="s">
        <v>1562</v>
      </c>
      <c r="C751" s="208"/>
      <c r="D751" s="209">
        <v>7</v>
      </c>
      <c r="E751" s="208">
        <v>7</v>
      </c>
      <c r="F751" s="209">
        <f t="shared" si="12"/>
        <v>49</v>
      </c>
      <c r="G751" s="207" t="s">
        <v>767</v>
      </c>
      <c r="H751" s="208"/>
    </row>
    <row r="752" spans="1:8" ht="14.25" customHeight="1" x14ac:dyDescent="0.25">
      <c r="A752" s="212" t="s">
        <v>1628</v>
      </c>
      <c r="B752" s="208"/>
      <c r="C752" s="208"/>
      <c r="D752" s="209">
        <v>19.399999999999999</v>
      </c>
      <c r="E752" s="208"/>
      <c r="F752" s="209">
        <f t="shared" si="12"/>
        <v>0</v>
      </c>
      <c r="G752" s="207"/>
      <c r="H752" s="208"/>
    </row>
    <row r="753" spans="1:8" ht="14.25" customHeight="1" x14ac:dyDescent="0.25">
      <c r="A753" s="212" t="s">
        <v>1629</v>
      </c>
      <c r="B753" s="208"/>
      <c r="C753" s="208"/>
      <c r="D753" s="209">
        <v>26.4</v>
      </c>
      <c r="E753" s="208">
        <v>11</v>
      </c>
      <c r="F753" s="209">
        <f t="shared" si="12"/>
        <v>290.39999999999998</v>
      </c>
      <c r="G753" s="211" t="s">
        <v>900</v>
      </c>
      <c r="H753" s="208"/>
    </row>
    <row r="754" spans="1:8" ht="11.25" customHeight="1" x14ac:dyDescent="0.25">
      <c r="A754" s="207" t="s">
        <v>1630</v>
      </c>
      <c r="B754" s="207" t="s">
        <v>1562</v>
      </c>
      <c r="C754" s="208"/>
      <c r="D754" s="209">
        <v>14.5</v>
      </c>
      <c r="E754" s="208">
        <v>0.5</v>
      </c>
      <c r="F754" s="209">
        <f t="shared" si="12"/>
        <v>7.25</v>
      </c>
      <c r="G754" s="209" t="s">
        <v>767</v>
      </c>
      <c r="H754" s="208"/>
    </row>
    <row r="755" spans="1:8" ht="15.75" customHeight="1" x14ac:dyDescent="0.25">
      <c r="A755" s="212" t="s">
        <v>1631</v>
      </c>
      <c r="B755" s="208"/>
      <c r="C755" s="208"/>
      <c r="D755" s="209">
        <v>11.48</v>
      </c>
      <c r="E755" s="210">
        <v>0.34200000000000003</v>
      </c>
      <c r="F755" s="209">
        <f t="shared" si="12"/>
        <v>3.9261600000000003</v>
      </c>
      <c r="G755" s="211" t="s">
        <v>767</v>
      </c>
      <c r="H755" s="208"/>
    </row>
    <row r="756" spans="1:8" ht="13.5" customHeight="1" x14ac:dyDescent="0.25">
      <c r="A756" s="212" t="s">
        <v>1632</v>
      </c>
      <c r="B756" s="208"/>
      <c r="C756" s="208">
        <v>10</v>
      </c>
      <c r="D756" s="209">
        <v>69</v>
      </c>
      <c r="E756" s="208">
        <v>4.8</v>
      </c>
      <c r="F756" s="209">
        <f t="shared" si="12"/>
        <v>331.2</v>
      </c>
      <c r="G756" s="211" t="s">
        <v>900</v>
      </c>
      <c r="H756" s="208"/>
    </row>
    <row r="757" spans="1:8" ht="13.5" customHeight="1" x14ac:dyDescent="0.25">
      <c r="A757" s="212" t="s">
        <v>1633</v>
      </c>
      <c r="B757" s="208"/>
      <c r="C757" s="208"/>
      <c r="D757" s="209">
        <v>96</v>
      </c>
      <c r="E757" s="208">
        <v>0.8</v>
      </c>
      <c r="F757" s="209">
        <f t="shared" si="12"/>
        <v>76.800000000000011</v>
      </c>
      <c r="G757" s="208" t="s">
        <v>767</v>
      </c>
      <c r="H757" s="208"/>
    </row>
    <row r="758" spans="1:8" ht="18" customHeight="1" x14ac:dyDescent="0.25">
      <c r="A758" s="207" t="s">
        <v>1634</v>
      </c>
      <c r="B758" s="207" t="s">
        <v>1562</v>
      </c>
      <c r="C758" s="208"/>
      <c r="D758" s="209">
        <v>8.9</v>
      </c>
      <c r="E758" s="208">
        <v>1.6</v>
      </c>
      <c r="F758" s="209">
        <f t="shared" si="12"/>
        <v>14.240000000000002</v>
      </c>
      <c r="G758" s="211" t="s">
        <v>767</v>
      </c>
      <c r="H758" s="208"/>
    </row>
    <row r="759" spans="1:8" ht="16.5" customHeight="1" x14ac:dyDescent="0.25">
      <c r="A759" s="207" t="s">
        <v>1635</v>
      </c>
      <c r="B759" s="207" t="s">
        <v>1562</v>
      </c>
      <c r="C759" s="208"/>
      <c r="D759" s="209">
        <v>8.6999999999999993</v>
      </c>
      <c r="E759" s="208"/>
      <c r="F759" s="209">
        <f t="shared" si="12"/>
        <v>0</v>
      </c>
      <c r="G759" s="208"/>
      <c r="H759" s="208"/>
    </row>
    <row r="760" spans="1:8" ht="17.25" customHeight="1" x14ac:dyDescent="0.25">
      <c r="A760" s="207" t="s">
        <v>1636</v>
      </c>
      <c r="B760" s="207" t="s">
        <v>1562</v>
      </c>
      <c r="C760" s="208"/>
      <c r="D760" s="209">
        <v>6</v>
      </c>
      <c r="E760" s="208"/>
      <c r="F760" s="209">
        <f t="shared" si="12"/>
        <v>0</v>
      </c>
      <c r="G760" s="208"/>
      <c r="H760" s="208"/>
    </row>
    <row r="761" spans="1:8" ht="23.25" customHeight="1" x14ac:dyDescent="0.25">
      <c r="A761" s="207" t="s">
        <v>1637</v>
      </c>
      <c r="B761" s="207" t="s">
        <v>1562</v>
      </c>
      <c r="C761" s="208"/>
      <c r="D761" s="209">
        <v>4</v>
      </c>
      <c r="E761" s="208">
        <v>1.98</v>
      </c>
      <c r="F761" s="209">
        <f t="shared" si="12"/>
        <v>7.92</v>
      </c>
      <c r="G761" s="211" t="s">
        <v>900</v>
      </c>
      <c r="H761" s="208"/>
    </row>
    <row r="762" spans="1:8" ht="19.5" customHeight="1" x14ac:dyDescent="0.25">
      <c r="A762" s="207" t="s">
        <v>1638</v>
      </c>
      <c r="B762" s="207" t="s">
        <v>1562</v>
      </c>
      <c r="C762" s="208"/>
      <c r="D762" s="209">
        <v>25.5</v>
      </c>
      <c r="E762" s="208">
        <v>8.1</v>
      </c>
      <c r="F762" s="209">
        <f t="shared" si="12"/>
        <v>206.54999999999998</v>
      </c>
      <c r="G762" s="211" t="s">
        <v>900</v>
      </c>
      <c r="H762" s="208"/>
    </row>
    <row r="763" spans="1:8" ht="15.75" customHeight="1" x14ac:dyDescent="0.25">
      <c r="A763" s="207" t="s">
        <v>1639</v>
      </c>
      <c r="B763" s="207" t="s">
        <v>1562</v>
      </c>
      <c r="C763" s="208"/>
      <c r="D763" s="209">
        <v>12.4</v>
      </c>
      <c r="E763" s="208">
        <v>0.9</v>
      </c>
      <c r="F763" s="209">
        <f t="shared" si="12"/>
        <v>11.16</v>
      </c>
      <c r="G763" s="211" t="s">
        <v>767</v>
      </c>
      <c r="H763" s="208"/>
    </row>
    <row r="764" spans="1:8" ht="15.75" customHeight="1" x14ac:dyDescent="0.25">
      <c r="A764" s="207" t="s">
        <v>1640</v>
      </c>
      <c r="B764" s="207" t="s">
        <v>1562</v>
      </c>
      <c r="C764" s="208"/>
      <c r="D764" s="209">
        <v>36</v>
      </c>
      <c r="E764" s="208">
        <v>1</v>
      </c>
      <c r="F764" s="209">
        <f t="shared" si="12"/>
        <v>36</v>
      </c>
      <c r="G764" s="211" t="s">
        <v>767</v>
      </c>
      <c r="H764" s="208"/>
    </row>
    <row r="765" spans="1:8" ht="15.75" customHeight="1" x14ac:dyDescent="0.25">
      <c r="A765" s="212" t="s">
        <v>1641</v>
      </c>
      <c r="B765" s="208"/>
      <c r="C765" s="208"/>
      <c r="D765" s="209">
        <v>8.4</v>
      </c>
      <c r="E765" s="208"/>
      <c r="F765" s="209">
        <f t="shared" si="12"/>
        <v>0</v>
      </c>
      <c r="G765" s="208"/>
      <c r="H765" s="208"/>
    </row>
    <row r="766" spans="1:8" ht="14.25" customHeight="1" x14ac:dyDescent="0.25">
      <c r="A766" s="212" t="s">
        <v>1642</v>
      </c>
      <c r="B766" s="208"/>
      <c r="C766" s="208"/>
      <c r="D766" s="209">
        <v>16.399999999999999</v>
      </c>
      <c r="E766" s="208">
        <v>1</v>
      </c>
      <c r="F766" s="209">
        <f t="shared" si="12"/>
        <v>16.399999999999999</v>
      </c>
      <c r="G766" s="208"/>
      <c r="H766" s="208"/>
    </row>
    <row r="767" spans="1:8" ht="14.1" customHeight="1" x14ac:dyDescent="0.25">
      <c r="A767" s="212" t="s">
        <v>1643</v>
      </c>
      <c r="B767" s="208"/>
      <c r="C767" s="208"/>
      <c r="D767" s="209">
        <v>9.3000000000000007</v>
      </c>
      <c r="E767" s="208"/>
      <c r="F767" s="209">
        <f t="shared" si="12"/>
        <v>0</v>
      </c>
      <c r="G767" s="214" t="s">
        <v>767</v>
      </c>
      <c r="H767" s="208"/>
    </row>
    <row r="768" spans="1:8" ht="13.5" customHeight="1" x14ac:dyDescent="0.25">
      <c r="A768" s="212" t="s">
        <v>1644</v>
      </c>
      <c r="B768" s="208"/>
      <c r="C768" s="208"/>
      <c r="D768" s="209">
        <v>6.7</v>
      </c>
      <c r="E768" s="208"/>
      <c r="F768" s="209">
        <f t="shared" si="12"/>
        <v>0</v>
      </c>
      <c r="G768" s="207"/>
      <c r="H768" s="208"/>
    </row>
    <row r="769" spans="1:8" ht="13.5" customHeight="1" x14ac:dyDescent="0.25">
      <c r="A769" s="212" t="s">
        <v>1645</v>
      </c>
      <c r="B769" s="208"/>
      <c r="C769" s="208"/>
      <c r="D769" s="209">
        <v>8.9</v>
      </c>
      <c r="E769" s="208"/>
      <c r="F769" s="209">
        <f t="shared" si="12"/>
        <v>0</v>
      </c>
      <c r="G769" s="208"/>
      <c r="H769" s="208"/>
    </row>
    <row r="770" spans="1:8" ht="13.5" customHeight="1" x14ac:dyDescent="0.25">
      <c r="A770" s="207" t="s">
        <v>1646</v>
      </c>
      <c r="B770" s="207" t="s">
        <v>1562</v>
      </c>
      <c r="C770" s="208"/>
      <c r="D770" s="209">
        <v>39.5</v>
      </c>
      <c r="E770" s="208"/>
      <c r="F770" s="209">
        <f t="shared" si="12"/>
        <v>0</v>
      </c>
      <c r="G770" s="214" t="s">
        <v>900</v>
      </c>
      <c r="H770" s="208"/>
    </row>
    <row r="771" spans="1:8" ht="15.75" customHeight="1" x14ac:dyDescent="0.25">
      <c r="A771" s="207" t="s">
        <v>1647</v>
      </c>
      <c r="B771" s="207" t="s">
        <v>1562</v>
      </c>
      <c r="C771" s="208"/>
      <c r="D771" s="209">
        <v>3.3</v>
      </c>
      <c r="E771" s="208">
        <v>18</v>
      </c>
      <c r="F771" s="209">
        <f t="shared" si="12"/>
        <v>59.4</v>
      </c>
      <c r="G771" s="208"/>
      <c r="H771" s="208"/>
    </row>
    <row r="772" spans="1:8" ht="15.75" customHeight="1" x14ac:dyDescent="0.25">
      <c r="A772" s="207" t="s">
        <v>1648</v>
      </c>
      <c r="B772" s="207" t="s">
        <v>1562</v>
      </c>
      <c r="C772" s="208"/>
      <c r="D772" s="209">
        <v>39.4</v>
      </c>
      <c r="E772" s="208">
        <v>7.1</v>
      </c>
      <c r="F772" s="209">
        <f t="shared" si="12"/>
        <v>279.73999999999995</v>
      </c>
      <c r="G772" s="213" t="s">
        <v>900</v>
      </c>
      <c r="H772" s="208"/>
    </row>
    <row r="773" spans="1:8" ht="14.1" customHeight="1" x14ac:dyDescent="0.25">
      <c r="A773" s="212" t="s">
        <v>1649</v>
      </c>
      <c r="B773" s="208"/>
      <c r="C773" s="208"/>
      <c r="D773" s="209">
        <v>17.399999999999999</v>
      </c>
      <c r="E773" s="208"/>
      <c r="F773" s="209">
        <f t="shared" si="12"/>
        <v>0</v>
      </c>
      <c r="G773" s="208"/>
      <c r="H773" s="208"/>
    </row>
    <row r="774" spans="1:8" ht="13.5" customHeight="1" x14ac:dyDescent="0.25">
      <c r="A774" s="212" t="s">
        <v>1650</v>
      </c>
      <c r="B774" s="207" t="s">
        <v>1562</v>
      </c>
      <c r="C774" s="208"/>
      <c r="D774" s="209">
        <v>90</v>
      </c>
      <c r="E774" s="208"/>
      <c r="F774" s="209">
        <f t="shared" si="12"/>
        <v>0</v>
      </c>
      <c r="G774" s="208"/>
      <c r="H774" s="208"/>
    </row>
    <row r="775" spans="1:8" ht="13.5" customHeight="1" x14ac:dyDescent="0.25">
      <c r="A775" s="207" t="s">
        <v>1651</v>
      </c>
      <c r="B775" s="207" t="s">
        <v>1562</v>
      </c>
      <c r="C775" s="208"/>
      <c r="D775" s="209">
        <v>2.65</v>
      </c>
      <c r="E775" s="208">
        <v>0</v>
      </c>
      <c r="F775" s="209">
        <f t="shared" si="12"/>
        <v>0</v>
      </c>
      <c r="G775" s="208" t="s">
        <v>767</v>
      </c>
      <c r="H775" s="208"/>
    </row>
    <row r="776" spans="1:8" ht="14.1" customHeight="1" x14ac:dyDescent="0.25">
      <c r="A776" s="207" t="s">
        <v>1652</v>
      </c>
      <c r="B776" s="207" t="s">
        <v>1562</v>
      </c>
      <c r="C776" s="208"/>
      <c r="D776" s="209">
        <v>28.4</v>
      </c>
      <c r="E776" s="208"/>
      <c r="F776" s="209">
        <f t="shared" si="12"/>
        <v>0</v>
      </c>
      <c r="G776" s="208"/>
      <c r="H776" s="208"/>
    </row>
    <row r="777" spans="1:8" ht="15.95" customHeight="1" x14ac:dyDescent="0.25">
      <c r="A777" s="207" t="s">
        <v>1653</v>
      </c>
      <c r="B777" s="207" t="s">
        <v>1562</v>
      </c>
      <c r="C777" s="208"/>
      <c r="D777" s="209">
        <v>4</v>
      </c>
      <c r="E777" s="208"/>
      <c r="F777" s="209">
        <f t="shared" si="12"/>
        <v>0</v>
      </c>
      <c r="G777" s="208"/>
      <c r="H777" s="208"/>
    </row>
    <row r="778" spans="1:8" ht="13.5" customHeight="1" x14ac:dyDescent="0.25">
      <c r="A778" s="207" t="s">
        <v>1653</v>
      </c>
      <c r="B778" s="207" t="s">
        <v>1562</v>
      </c>
      <c r="C778" s="208"/>
      <c r="D778" s="209">
        <v>3</v>
      </c>
      <c r="E778" s="208">
        <v>10</v>
      </c>
      <c r="F778" s="209">
        <f t="shared" si="12"/>
        <v>30</v>
      </c>
      <c r="G778" s="208"/>
      <c r="H778" s="208"/>
    </row>
    <row r="779" spans="1:8" ht="13.5" customHeight="1" x14ac:dyDescent="0.25">
      <c r="A779" s="207" t="s">
        <v>1654</v>
      </c>
      <c r="B779" s="207" t="s">
        <v>1562</v>
      </c>
      <c r="C779" s="208"/>
      <c r="D779" s="209">
        <v>2.9</v>
      </c>
      <c r="E779" s="208">
        <v>1.4</v>
      </c>
      <c r="F779" s="209">
        <f t="shared" si="12"/>
        <v>4.0599999999999996</v>
      </c>
      <c r="G779" s="208" t="s">
        <v>778</v>
      </c>
      <c r="H779" s="208"/>
    </row>
    <row r="780" spans="1:8" ht="15.75" customHeight="1" x14ac:dyDescent="0.25">
      <c r="A780" s="207" t="s">
        <v>1655</v>
      </c>
      <c r="B780" s="207" t="s">
        <v>1562</v>
      </c>
      <c r="C780" s="208">
        <v>10</v>
      </c>
      <c r="D780" s="209">
        <v>129</v>
      </c>
      <c r="E780" s="208">
        <v>0.91</v>
      </c>
      <c r="F780" s="209">
        <f t="shared" si="12"/>
        <v>117.39</v>
      </c>
      <c r="G780" s="214" t="s">
        <v>900</v>
      </c>
      <c r="H780" s="208"/>
    </row>
    <row r="781" spans="1:8" ht="13.5" customHeight="1" x14ac:dyDescent="0.45">
      <c r="A781" s="207" t="s">
        <v>1656</v>
      </c>
      <c r="B781" s="207" t="s">
        <v>1562</v>
      </c>
      <c r="C781" s="208"/>
      <c r="D781" s="209">
        <v>8.1</v>
      </c>
      <c r="E781" s="225"/>
      <c r="F781" s="209">
        <f t="shared" si="12"/>
        <v>0</v>
      </c>
      <c r="G781" s="214" t="s">
        <v>900</v>
      </c>
      <c r="H781" s="208"/>
    </row>
    <row r="782" spans="1:8" ht="13.5" customHeight="1" x14ac:dyDescent="0.25">
      <c r="A782" s="212" t="s">
        <v>1657</v>
      </c>
      <c r="B782" s="207" t="s">
        <v>1562</v>
      </c>
      <c r="C782" s="208"/>
      <c r="D782" s="209">
        <v>5</v>
      </c>
      <c r="E782" s="208"/>
      <c r="F782" s="209">
        <f t="shared" si="12"/>
        <v>0</v>
      </c>
      <c r="G782" s="208"/>
      <c r="H782" s="208"/>
    </row>
    <row r="783" spans="1:8" ht="13.5" customHeight="1" x14ac:dyDescent="0.25">
      <c r="A783" s="224" t="s">
        <v>1658</v>
      </c>
      <c r="B783" s="207" t="s">
        <v>1562</v>
      </c>
      <c r="C783" s="208"/>
      <c r="D783" s="209">
        <v>14.8</v>
      </c>
      <c r="E783" s="208"/>
      <c r="F783" s="209">
        <f t="shared" si="12"/>
        <v>0</v>
      </c>
      <c r="G783" s="208"/>
      <c r="H783" s="208"/>
    </row>
    <row r="784" spans="1:8" ht="15.75" customHeight="1" x14ac:dyDescent="0.25">
      <c r="A784" s="207" t="s">
        <v>1659</v>
      </c>
      <c r="B784" s="207" t="s">
        <v>1562</v>
      </c>
      <c r="C784" s="208"/>
      <c r="D784" s="209">
        <v>12.6</v>
      </c>
      <c r="E784" s="208">
        <v>0.4</v>
      </c>
      <c r="F784" s="209">
        <f t="shared" si="12"/>
        <v>5.04</v>
      </c>
      <c r="G784" s="208"/>
      <c r="H784" s="208"/>
    </row>
    <row r="785" spans="1:8" ht="20.25" customHeight="1" x14ac:dyDescent="0.25">
      <c r="A785" s="224" t="s">
        <v>1660</v>
      </c>
      <c r="B785" s="207" t="s">
        <v>1562</v>
      </c>
      <c r="C785" s="208"/>
      <c r="D785" s="209">
        <v>12.4</v>
      </c>
      <c r="E785" s="208">
        <v>0.83</v>
      </c>
      <c r="F785" s="209">
        <f t="shared" si="12"/>
        <v>10.292</v>
      </c>
      <c r="G785" s="208"/>
      <c r="H785" s="208"/>
    </row>
    <row r="786" spans="1:8" ht="15.75" customHeight="1" x14ac:dyDescent="0.25">
      <c r="A786" s="212" t="s">
        <v>1661</v>
      </c>
      <c r="B786" s="208"/>
      <c r="C786" s="208"/>
      <c r="D786" s="209">
        <v>13</v>
      </c>
      <c r="E786" s="208"/>
      <c r="F786" s="209">
        <f t="shared" si="12"/>
        <v>0</v>
      </c>
      <c r="G786" s="208"/>
      <c r="H786" s="208"/>
    </row>
    <row r="787" spans="1:8" ht="20.25" customHeight="1" x14ac:dyDescent="0.25">
      <c r="A787" s="224" t="s">
        <v>1662</v>
      </c>
      <c r="B787" s="207" t="s">
        <v>1562</v>
      </c>
      <c r="C787" s="208" t="s">
        <v>1182</v>
      </c>
      <c r="D787" s="209">
        <v>25.4</v>
      </c>
      <c r="E787" s="208">
        <v>2</v>
      </c>
      <c r="F787" s="209">
        <f t="shared" si="12"/>
        <v>50.8</v>
      </c>
      <c r="G787" s="208" t="s">
        <v>767</v>
      </c>
      <c r="H787" s="208"/>
    </row>
    <row r="788" spans="1:8" ht="18" customHeight="1" x14ac:dyDescent="0.25">
      <c r="A788" s="224" t="s">
        <v>1663</v>
      </c>
      <c r="B788" s="207" t="s">
        <v>1562</v>
      </c>
      <c r="C788" s="208" t="s">
        <v>1182</v>
      </c>
      <c r="D788" s="209"/>
      <c r="E788" s="208">
        <v>0.83</v>
      </c>
      <c r="F788" s="209">
        <f t="shared" si="12"/>
        <v>0</v>
      </c>
      <c r="G788" s="208" t="s">
        <v>767</v>
      </c>
      <c r="H788" s="208" t="s">
        <v>769</v>
      </c>
    </row>
    <row r="789" spans="1:8" ht="18" customHeight="1" x14ac:dyDescent="0.25">
      <c r="A789" s="224" t="s">
        <v>1664</v>
      </c>
      <c r="B789" s="207"/>
      <c r="C789" s="208"/>
      <c r="D789" s="209">
        <v>16</v>
      </c>
      <c r="E789" s="208">
        <v>25</v>
      </c>
      <c r="F789" s="209">
        <f t="shared" si="12"/>
        <v>400</v>
      </c>
      <c r="G789" s="214" t="s">
        <v>900</v>
      </c>
      <c r="H789" s="208"/>
    </row>
    <row r="790" spans="1:8" ht="21.75" customHeight="1" x14ac:dyDescent="0.25">
      <c r="A790" s="207" t="s">
        <v>1665</v>
      </c>
      <c r="B790" s="207" t="s">
        <v>1562</v>
      </c>
      <c r="C790" s="208"/>
      <c r="D790" s="209">
        <v>7.6</v>
      </c>
      <c r="E790" s="208">
        <v>5</v>
      </c>
      <c r="F790" s="209">
        <f t="shared" si="12"/>
        <v>38</v>
      </c>
      <c r="G790" s="213" t="s">
        <v>900</v>
      </c>
      <c r="H790" s="208"/>
    </row>
    <row r="791" spans="1:8" ht="18.75" customHeight="1" x14ac:dyDescent="0.25">
      <c r="A791" s="224" t="s">
        <v>1666</v>
      </c>
      <c r="B791" s="207" t="s">
        <v>1562</v>
      </c>
      <c r="C791" s="208"/>
      <c r="D791" s="209">
        <v>8.9</v>
      </c>
      <c r="E791" s="208">
        <v>7.2</v>
      </c>
      <c r="F791" s="209">
        <f t="shared" si="12"/>
        <v>64.08</v>
      </c>
      <c r="G791" s="211" t="s">
        <v>900</v>
      </c>
      <c r="H791" s="208"/>
    </row>
    <row r="792" spans="1:8" ht="18.95" customHeight="1" x14ac:dyDescent="0.25">
      <c r="A792" s="212" t="s">
        <v>1667</v>
      </c>
      <c r="B792" s="208"/>
      <c r="C792" s="208">
        <v>10</v>
      </c>
      <c r="D792" s="209">
        <v>80</v>
      </c>
      <c r="E792" s="208">
        <v>14.2</v>
      </c>
      <c r="F792" s="209">
        <f t="shared" si="12"/>
        <v>1136</v>
      </c>
      <c r="G792" s="214" t="s">
        <v>900</v>
      </c>
      <c r="H792" s="208"/>
    </row>
    <row r="793" spans="1:8" ht="15.95" customHeight="1" x14ac:dyDescent="0.25">
      <c r="A793" s="207" t="s">
        <v>1668</v>
      </c>
      <c r="B793" s="207" t="s">
        <v>1562</v>
      </c>
      <c r="C793" s="208"/>
      <c r="D793" s="209">
        <v>10</v>
      </c>
      <c r="E793" s="208">
        <v>0</v>
      </c>
      <c r="F793" s="209">
        <f t="shared" si="12"/>
        <v>0</v>
      </c>
      <c r="G793" s="211" t="s">
        <v>1669</v>
      </c>
      <c r="H793" s="208"/>
    </row>
    <row r="794" spans="1:8" ht="14.1" customHeight="1" x14ac:dyDescent="0.25">
      <c r="A794" s="207" t="s">
        <v>1670</v>
      </c>
      <c r="B794" s="207" t="s">
        <v>1562</v>
      </c>
      <c r="C794" s="208"/>
      <c r="D794" s="209">
        <v>3</v>
      </c>
      <c r="E794" s="208">
        <v>0</v>
      </c>
      <c r="F794" s="209">
        <f t="shared" si="12"/>
        <v>0</v>
      </c>
      <c r="G794" s="208" t="s">
        <v>778</v>
      </c>
      <c r="H794" s="208"/>
    </row>
    <row r="795" spans="1:8" ht="13.5" customHeight="1" x14ac:dyDescent="0.25">
      <c r="A795" s="224" t="s">
        <v>1671</v>
      </c>
      <c r="B795" s="207" t="s">
        <v>1562</v>
      </c>
      <c r="C795" s="208"/>
      <c r="D795" s="209">
        <v>4.3</v>
      </c>
      <c r="E795" s="208"/>
      <c r="F795" s="209">
        <f t="shared" si="12"/>
        <v>0</v>
      </c>
      <c r="G795" s="208"/>
      <c r="H795" s="208"/>
    </row>
    <row r="796" spans="1:8" ht="13.5" customHeight="1" x14ac:dyDescent="0.25">
      <c r="A796" s="207" t="s">
        <v>1672</v>
      </c>
      <c r="B796" s="207" t="s">
        <v>1562</v>
      </c>
      <c r="C796" s="208"/>
      <c r="D796" s="209">
        <v>6.2</v>
      </c>
      <c r="E796" s="208"/>
      <c r="F796" s="209">
        <f t="shared" si="12"/>
        <v>0</v>
      </c>
      <c r="G796" s="208"/>
      <c r="H796" s="208"/>
    </row>
    <row r="797" spans="1:8" ht="22.5" customHeight="1" x14ac:dyDescent="0.25">
      <c r="A797" s="207" t="s">
        <v>1673</v>
      </c>
      <c r="B797" s="207" t="s">
        <v>1562</v>
      </c>
      <c r="C797" s="208"/>
      <c r="D797" s="209">
        <v>2</v>
      </c>
      <c r="E797" s="208"/>
      <c r="F797" s="209">
        <f t="shared" si="12"/>
        <v>0</v>
      </c>
      <c r="G797" s="208"/>
      <c r="H797" s="208"/>
    </row>
    <row r="798" spans="1:8" ht="17.25" customHeight="1" x14ac:dyDescent="0.25">
      <c r="A798" s="207" t="s">
        <v>1674</v>
      </c>
      <c r="B798" s="207" t="s">
        <v>1562</v>
      </c>
      <c r="C798" s="208"/>
      <c r="D798" s="209">
        <v>1.8</v>
      </c>
      <c r="E798" s="208"/>
      <c r="F798" s="209">
        <f t="shared" si="12"/>
        <v>0</v>
      </c>
      <c r="G798" s="208"/>
      <c r="H798" s="208"/>
    </row>
    <row r="799" spans="1:8" ht="15.75" customHeight="1" x14ac:dyDescent="0.25">
      <c r="A799" s="207" t="s">
        <v>1675</v>
      </c>
      <c r="B799" s="207" t="s">
        <v>1562</v>
      </c>
      <c r="C799" s="208"/>
      <c r="D799" s="209">
        <v>2.2000000000000002</v>
      </c>
      <c r="E799" s="208"/>
      <c r="F799" s="209">
        <f t="shared" ref="F799:F862" si="13">D799:D799*E799:E799</f>
        <v>0</v>
      </c>
      <c r="G799" s="208"/>
      <c r="H799" s="208"/>
    </row>
    <row r="800" spans="1:8" ht="21" customHeight="1" x14ac:dyDescent="0.25">
      <c r="A800" s="212" t="s">
        <v>1676</v>
      </c>
      <c r="B800" s="207" t="s">
        <v>1562</v>
      </c>
      <c r="C800" s="208">
        <v>0.25</v>
      </c>
      <c r="D800" s="209">
        <v>4.5999999999999996</v>
      </c>
      <c r="E800" s="208">
        <v>2</v>
      </c>
      <c r="F800" s="209">
        <f t="shared" si="13"/>
        <v>9.1999999999999993</v>
      </c>
      <c r="G800" s="207"/>
      <c r="H800" s="208"/>
    </row>
    <row r="801" spans="1:8" ht="18" customHeight="1" x14ac:dyDescent="0.25">
      <c r="A801" s="212" t="s">
        <v>1677</v>
      </c>
      <c r="B801" s="207" t="s">
        <v>1562</v>
      </c>
      <c r="C801" s="208">
        <v>1</v>
      </c>
      <c r="D801" s="209">
        <v>23.99</v>
      </c>
      <c r="E801" s="208"/>
      <c r="F801" s="209">
        <f t="shared" si="13"/>
        <v>0</v>
      </c>
      <c r="G801" s="207" t="s">
        <v>913</v>
      </c>
      <c r="H801" s="208"/>
    </row>
    <row r="802" spans="1:8" ht="18" customHeight="1" x14ac:dyDescent="0.25">
      <c r="A802" s="212" t="s">
        <v>1677</v>
      </c>
      <c r="B802" s="207" t="s">
        <v>1562</v>
      </c>
      <c r="C802" s="208">
        <v>5</v>
      </c>
      <c r="D802" s="209">
        <v>60</v>
      </c>
      <c r="E802" s="208">
        <v>2</v>
      </c>
      <c r="F802" s="209">
        <f t="shared" si="13"/>
        <v>120</v>
      </c>
      <c r="G802" s="207" t="s">
        <v>778</v>
      </c>
      <c r="H802" s="208"/>
    </row>
    <row r="803" spans="1:8" ht="15.75" customHeight="1" x14ac:dyDescent="0.25">
      <c r="A803" s="207" t="s">
        <v>1678</v>
      </c>
      <c r="B803" s="207" t="s">
        <v>1562</v>
      </c>
      <c r="C803" s="208"/>
      <c r="D803" s="209">
        <v>10.7</v>
      </c>
      <c r="E803" s="208">
        <v>0.91</v>
      </c>
      <c r="F803" s="209">
        <f t="shared" si="13"/>
        <v>9.7370000000000001</v>
      </c>
      <c r="G803" s="211" t="s">
        <v>767</v>
      </c>
      <c r="H803" s="208"/>
    </row>
    <row r="804" spans="1:8" ht="13.5" customHeight="1" x14ac:dyDescent="0.25">
      <c r="A804" s="207" t="s">
        <v>1679</v>
      </c>
      <c r="B804" s="207" t="s">
        <v>1562</v>
      </c>
      <c r="C804" s="208">
        <v>12.5</v>
      </c>
      <c r="D804" s="209">
        <v>95.2</v>
      </c>
      <c r="E804" s="208">
        <v>1.2</v>
      </c>
      <c r="F804" s="209">
        <f t="shared" si="13"/>
        <v>114.24</v>
      </c>
      <c r="G804" s="214" t="s">
        <v>900</v>
      </c>
      <c r="H804" s="208"/>
    </row>
    <row r="805" spans="1:8" ht="13.5" customHeight="1" x14ac:dyDescent="0.25">
      <c r="A805" s="219" t="s">
        <v>1680</v>
      </c>
      <c r="B805" s="208" t="s">
        <v>1681</v>
      </c>
      <c r="C805" s="208" t="s">
        <v>1682</v>
      </c>
      <c r="D805" s="209">
        <v>180</v>
      </c>
      <c r="E805" s="210">
        <v>3.5</v>
      </c>
      <c r="F805" s="209">
        <f t="shared" si="13"/>
        <v>630</v>
      </c>
      <c r="G805" s="208" t="s">
        <v>1683</v>
      </c>
      <c r="H805" s="208"/>
    </row>
    <row r="806" spans="1:8" ht="15.75" customHeight="1" x14ac:dyDescent="0.25">
      <c r="A806" s="207" t="s">
        <v>1684</v>
      </c>
      <c r="B806" s="207" t="s">
        <v>1562</v>
      </c>
      <c r="C806" s="208"/>
      <c r="D806" s="209">
        <v>8</v>
      </c>
      <c r="E806" s="208">
        <v>0.6</v>
      </c>
      <c r="F806" s="209">
        <f t="shared" si="13"/>
        <v>4.8</v>
      </c>
      <c r="G806" s="207" t="s">
        <v>785</v>
      </c>
      <c r="H806" s="208"/>
    </row>
    <row r="807" spans="1:8" ht="15.75" customHeight="1" x14ac:dyDescent="0.25">
      <c r="A807" s="207" t="s">
        <v>1685</v>
      </c>
      <c r="B807" s="207" t="s">
        <v>1562</v>
      </c>
      <c r="C807" s="208"/>
      <c r="D807" s="209">
        <v>6</v>
      </c>
      <c r="E807" s="208">
        <v>14.2</v>
      </c>
      <c r="F807" s="209">
        <f t="shared" si="13"/>
        <v>85.199999999999989</v>
      </c>
      <c r="G807" s="211" t="s">
        <v>900</v>
      </c>
      <c r="H807" s="208"/>
    </row>
    <row r="808" spans="1:8" ht="15.75" customHeight="1" x14ac:dyDescent="0.25">
      <c r="A808" s="212" t="s">
        <v>1686</v>
      </c>
      <c r="B808" s="207" t="s">
        <v>1562</v>
      </c>
      <c r="C808" s="208"/>
      <c r="D808" s="209">
        <v>32.9</v>
      </c>
      <c r="E808" s="208">
        <v>0.7</v>
      </c>
      <c r="F808" s="209">
        <f t="shared" si="13"/>
        <v>23.029999999999998</v>
      </c>
      <c r="G808" s="211" t="s">
        <v>767</v>
      </c>
      <c r="H808" s="208"/>
    </row>
    <row r="809" spans="1:8" ht="15.75" customHeight="1" x14ac:dyDescent="0.25">
      <c r="A809" s="212" t="s">
        <v>1687</v>
      </c>
      <c r="B809" s="207" t="s">
        <v>1562</v>
      </c>
      <c r="C809" s="208"/>
      <c r="D809" s="209">
        <v>14.4</v>
      </c>
      <c r="E809" s="208">
        <v>0</v>
      </c>
      <c r="F809" s="209">
        <f t="shared" si="13"/>
        <v>0</v>
      </c>
      <c r="G809" s="211" t="s">
        <v>767</v>
      </c>
      <c r="H809" s="208"/>
    </row>
    <row r="810" spans="1:8" ht="15.75" customHeight="1" x14ac:dyDescent="0.25">
      <c r="A810" s="212" t="s">
        <v>1688</v>
      </c>
      <c r="B810" s="207" t="s">
        <v>1562</v>
      </c>
      <c r="C810" s="208"/>
      <c r="D810" s="209">
        <v>6</v>
      </c>
      <c r="E810" s="208"/>
      <c r="F810" s="209">
        <f t="shared" si="13"/>
        <v>0</v>
      </c>
      <c r="G810" s="208"/>
      <c r="H810" s="208"/>
    </row>
    <row r="811" spans="1:8" ht="15.75" customHeight="1" x14ac:dyDescent="0.25">
      <c r="A811" s="212" t="s">
        <v>1689</v>
      </c>
      <c r="B811" s="207" t="s">
        <v>1562</v>
      </c>
      <c r="C811" s="208"/>
      <c r="D811" s="209">
        <v>28.4</v>
      </c>
      <c r="E811" s="208">
        <v>1.33</v>
      </c>
      <c r="F811" s="209">
        <f t="shared" si="13"/>
        <v>37.771999999999998</v>
      </c>
      <c r="G811" s="211" t="s">
        <v>767</v>
      </c>
      <c r="H811" s="208"/>
    </row>
    <row r="812" spans="1:8" ht="15.75" customHeight="1" x14ac:dyDescent="0.25">
      <c r="A812" s="212" t="s">
        <v>1647</v>
      </c>
      <c r="B812" s="207" t="s">
        <v>1562</v>
      </c>
      <c r="C812" s="208">
        <v>25</v>
      </c>
      <c r="D812" s="209">
        <v>74.91</v>
      </c>
      <c r="E812" s="208"/>
      <c r="F812" s="209">
        <f t="shared" si="13"/>
        <v>0</v>
      </c>
      <c r="G812" s="208"/>
      <c r="H812" s="208"/>
    </row>
    <row r="813" spans="1:8" ht="17.25" customHeight="1" x14ac:dyDescent="0.25">
      <c r="A813" s="212" t="s">
        <v>1690</v>
      </c>
      <c r="B813" s="207" t="s">
        <v>1562</v>
      </c>
      <c r="C813" s="208">
        <v>9</v>
      </c>
      <c r="D813" s="209">
        <v>44.55</v>
      </c>
      <c r="E813" s="214"/>
      <c r="F813" s="209">
        <f t="shared" si="13"/>
        <v>0</v>
      </c>
      <c r="G813" s="211" t="s">
        <v>767</v>
      </c>
      <c r="H813" s="208"/>
    </row>
    <row r="814" spans="1:8" ht="19.5" customHeight="1" x14ac:dyDescent="0.25">
      <c r="A814" s="212" t="s">
        <v>1691</v>
      </c>
      <c r="B814" s="207" t="s">
        <v>1562</v>
      </c>
      <c r="C814" s="208">
        <v>13.6</v>
      </c>
      <c r="D814" s="209">
        <v>117</v>
      </c>
      <c r="E814" s="208"/>
      <c r="F814" s="209">
        <f t="shared" si="13"/>
        <v>0</v>
      </c>
      <c r="G814" s="208"/>
      <c r="H814" s="208"/>
    </row>
    <row r="815" spans="1:8" ht="15.75" customHeight="1" x14ac:dyDescent="0.25">
      <c r="A815" s="212" t="s">
        <v>1692</v>
      </c>
      <c r="B815" s="207" t="s">
        <v>1562</v>
      </c>
      <c r="C815" s="208">
        <v>10</v>
      </c>
      <c r="D815" s="209">
        <v>125</v>
      </c>
      <c r="E815" s="208">
        <v>14.1</v>
      </c>
      <c r="F815" s="209">
        <f t="shared" si="13"/>
        <v>1762.5</v>
      </c>
      <c r="G815" s="211" t="s">
        <v>767</v>
      </c>
      <c r="H815" s="208"/>
    </row>
    <row r="816" spans="1:8" ht="15.75" customHeight="1" x14ac:dyDescent="0.25">
      <c r="A816" s="212" t="s">
        <v>1693</v>
      </c>
      <c r="B816" s="207" t="s">
        <v>1562</v>
      </c>
      <c r="C816" s="208"/>
      <c r="D816" s="209">
        <v>6.4</v>
      </c>
      <c r="E816" s="208"/>
      <c r="F816" s="209">
        <f t="shared" si="13"/>
        <v>0</v>
      </c>
      <c r="G816" s="208"/>
      <c r="H816" s="208"/>
    </row>
    <row r="817" spans="1:8" ht="15.75" customHeight="1" x14ac:dyDescent="0.25">
      <c r="A817" s="212" t="s">
        <v>1694</v>
      </c>
      <c r="B817" s="207" t="s">
        <v>1562</v>
      </c>
      <c r="C817" s="208"/>
      <c r="D817" s="209">
        <v>6.7</v>
      </c>
      <c r="E817" s="208"/>
      <c r="F817" s="209">
        <f t="shared" si="13"/>
        <v>0</v>
      </c>
      <c r="G817" s="208"/>
      <c r="H817" s="208"/>
    </row>
    <row r="818" spans="1:8" ht="15.75" customHeight="1" x14ac:dyDescent="0.25">
      <c r="A818" s="212" t="s">
        <v>1695</v>
      </c>
      <c r="B818" s="207" t="s">
        <v>1562</v>
      </c>
      <c r="C818" s="208"/>
      <c r="D818" s="209">
        <v>6.7</v>
      </c>
      <c r="E818" s="208"/>
      <c r="F818" s="209">
        <f t="shared" si="13"/>
        <v>0</v>
      </c>
      <c r="G818" s="208"/>
      <c r="H818" s="208"/>
    </row>
    <row r="819" spans="1:8" ht="15.75" customHeight="1" x14ac:dyDescent="0.25">
      <c r="A819" s="212" t="s">
        <v>1696</v>
      </c>
      <c r="B819" s="207" t="s">
        <v>1562</v>
      </c>
      <c r="C819" s="208"/>
      <c r="D819" s="209">
        <v>7.4</v>
      </c>
      <c r="E819" s="208"/>
      <c r="F819" s="209">
        <f t="shared" si="13"/>
        <v>0</v>
      </c>
      <c r="G819" s="209"/>
      <c r="H819" s="208"/>
    </row>
    <row r="820" spans="1:8" ht="15.75" customHeight="1" x14ac:dyDescent="0.25">
      <c r="A820" s="212" t="s">
        <v>1697</v>
      </c>
      <c r="B820" s="207" t="s">
        <v>1562</v>
      </c>
      <c r="C820" s="208"/>
      <c r="D820" s="209">
        <v>16.899999999999999</v>
      </c>
      <c r="E820" s="208"/>
      <c r="F820" s="209">
        <f t="shared" si="13"/>
        <v>0</v>
      </c>
      <c r="G820" s="207" t="s">
        <v>778</v>
      </c>
      <c r="H820" s="208"/>
    </row>
    <row r="821" spans="1:8" ht="13.5" customHeight="1" x14ac:dyDescent="0.25">
      <c r="A821" s="212" t="s">
        <v>1698</v>
      </c>
      <c r="B821" s="207" t="s">
        <v>1562</v>
      </c>
      <c r="C821" s="207" t="s">
        <v>1699</v>
      </c>
      <c r="D821" s="209">
        <v>80</v>
      </c>
      <c r="E821" s="208"/>
      <c r="F821" s="209">
        <f t="shared" si="13"/>
        <v>0</v>
      </c>
      <c r="G821" s="209"/>
      <c r="H821" s="208"/>
    </row>
    <row r="822" spans="1:8" ht="13.5" customHeight="1" x14ac:dyDescent="0.25">
      <c r="A822" s="212" t="s">
        <v>1700</v>
      </c>
      <c r="B822" s="207" t="s">
        <v>1701</v>
      </c>
      <c r="C822" s="208"/>
      <c r="D822" s="209">
        <v>6.5</v>
      </c>
      <c r="E822" s="208">
        <v>1</v>
      </c>
      <c r="F822" s="209">
        <f t="shared" si="13"/>
        <v>6.5</v>
      </c>
      <c r="G822" s="211" t="s">
        <v>767</v>
      </c>
      <c r="H822" s="208"/>
    </row>
    <row r="823" spans="1:8" ht="13.5" customHeight="1" x14ac:dyDescent="0.25">
      <c r="A823" s="207" t="s">
        <v>1702</v>
      </c>
      <c r="B823" s="207" t="s">
        <v>1701</v>
      </c>
      <c r="C823" s="208"/>
      <c r="D823" s="209">
        <v>15.86</v>
      </c>
      <c r="E823" s="208">
        <v>1</v>
      </c>
      <c r="F823" s="209">
        <f t="shared" si="13"/>
        <v>15.86</v>
      </c>
      <c r="G823" s="209"/>
      <c r="H823" s="208"/>
    </row>
    <row r="824" spans="1:8" ht="13.5" customHeight="1" x14ac:dyDescent="0.25">
      <c r="A824" s="207" t="s">
        <v>1703</v>
      </c>
      <c r="B824" s="207" t="s">
        <v>1701</v>
      </c>
      <c r="C824" s="208"/>
      <c r="D824" s="209">
        <v>54.95</v>
      </c>
      <c r="E824" s="208">
        <f>3.2/15</f>
        <v>0.21333333333333335</v>
      </c>
      <c r="F824" s="209">
        <f t="shared" si="13"/>
        <v>11.722666666666669</v>
      </c>
      <c r="G824" s="207"/>
      <c r="H824" s="208"/>
    </row>
    <row r="825" spans="1:8" ht="13.5" customHeight="1" x14ac:dyDescent="0.25">
      <c r="A825" s="207" t="s">
        <v>1704</v>
      </c>
      <c r="B825" s="207" t="s">
        <v>1701</v>
      </c>
      <c r="C825" s="208"/>
      <c r="D825" s="209">
        <v>52.6</v>
      </c>
      <c r="E825" s="208"/>
      <c r="F825" s="209">
        <f t="shared" si="13"/>
        <v>0</v>
      </c>
      <c r="G825" s="209"/>
      <c r="H825" s="208"/>
    </row>
    <row r="826" spans="1:8" ht="13.5" customHeight="1" x14ac:dyDescent="0.25">
      <c r="A826" s="207" t="s">
        <v>1705</v>
      </c>
      <c r="B826" s="207" t="s">
        <v>1701</v>
      </c>
      <c r="C826" s="208"/>
      <c r="D826" s="209">
        <v>4.95</v>
      </c>
      <c r="E826" s="208">
        <v>1.5</v>
      </c>
      <c r="F826" s="209">
        <f t="shared" si="13"/>
        <v>7.4250000000000007</v>
      </c>
      <c r="G826" s="211" t="s">
        <v>767</v>
      </c>
      <c r="H826" s="208"/>
    </row>
    <row r="827" spans="1:8" ht="13.5" customHeight="1" x14ac:dyDescent="0.25">
      <c r="A827" s="207" t="s">
        <v>299</v>
      </c>
      <c r="B827" s="207" t="s">
        <v>1701</v>
      </c>
      <c r="C827" s="208"/>
      <c r="D827" s="209">
        <v>11.77</v>
      </c>
      <c r="E827" s="208"/>
      <c r="F827" s="209">
        <f t="shared" si="13"/>
        <v>0</v>
      </c>
      <c r="G827" s="209"/>
      <c r="H827" s="208"/>
    </row>
    <row r="828" spans="1:8" ht="13.5" customHeight="1" x14ac:dyDescent="0.25">
      <c r="A828" s="207" t="s">
        <v>1706</v>
      </c>
      <c r="B828" s="207" t="s">
        <v>1701</v>
      </c>
      <c r="C828" s="208"/>
      <c r="D828" s="209">
        <v>14.28</v>
      </c>
      <c r="E828" s="208">
        <v>0.5</v>
      </c>
      <c r="F828" s="209">
        <f t="shared" si="13"/>
        <v>7.14</v>
      </c>
      <c r="G828" s="211" t="s">
        <v>767</v>
      </c>
      <c r="H828" s="208"/>
    </row>
    <row r="829" spans="1:8" ht="15.75" customHeight="1" x14ac:dyDescent="0.25">
      <c r="A829" s="207" t="s">
        <v>1707</v>
      </c>
      <c r="B829" s="207" t="s">
        <v>1701</v>
      </c>
      <c r="C829" s="208"/>
      <c r="D829" s="209">
        <v>9.3800000000000008</v>
      </c>
      <c r="E829" s="208"/>
      <c r="F829" s="209">
        <f t="shared" si="13"/>
        <v>0</v>
      </c>
      <c r="G829" s="207" t="s">
        <v>778</v>
      </c>
      <c r="H829" s="208"/>
    </row>
    <row r="830" spans="1:8" ht="15.75" customHeight="1" x14ac:dyDescent="0.25">
      <c r="A830" s="207" t="s">
        <v>303</v>
      </c>
      <c r="B830" s="207" t="s">
        <v>1701</v>
      </c>
      <c r="C830" s="208"/>
      <c r="D830" s="209">
        <v>5.94</v>
      </c>
      <c r="E830" s="208"/>
      <c r="F830" s="209">
        <f t="shared" si="13"/>
        <v>0</v>
      </c>
      <c r="G830" s="209"/>
      <c r="H830" s="208"/>
    </row>
    <row r="831" spans="1:8" ht="13.5" customHeight="1" x14ac:dyDescent="0.25">
      <c r="A831" s="212" t="s">
        <v>1708</v>
      </c>
      <c r="B831" s="207" t="s">
        <v>1701</v>
      </c>
      <c r="C831" s="208"/>
      <c r="D831" s="209">
        <v>8.9499999999999993</v>
      </c>
      <c r="E831" s="208">
        <v>1</v>
      </c>
      <c r="F831" s="209">
        <f t="shared" si="13"/>
        <v>8.9499999999999993</v>
      </c>
      <c r="G831" s="211" t="s">
        <v>767</v>
      </c>
      <c r="H831" s="208"/>
    </row>
    <row r="832" spans="1:8" ht="13.5" customHeight="1" x14ac:dyDescent="0.25">
      <c r="A832" s="212" t="s">
        <v>1709</v>
      </c>
      <c r="B832" s="208"/>
      <c r="C832" s="207" t="s">
        <v>1710</v>
      </c>
      <c r="D832" s="209">
        <v>8</v>
      </c>
      <c r="E832" s="208">
        <v>2</v>
      </c>
      <c r="F832" s="209">
        <f t="shared" si="13"/>
        <v>16</v>
      </c>
      <c r="G832" s="208" t="s">
        <v>767</v>
      </c>
      <c r="H832" s="208"/>
    </row>
    <row r="833" spans="1:8" ht="16.5" customHeight="1" x14ac:dyDescent="0.25">
      <c r="A833" s="207" t="s">
        <v>1711</v>
      </c>
      <c r="B833" s="207" t="s">
        <v>1562</v>
      </c>
      <c r="C833" s="208"/>
      <c r="D833" s="209">
        <v>2.2999999999999998</v>
      </c>
      <c r="E833" s="208">
        <v>6.2</v>
      </c>
      <c r="F833" s="209">
        <f t="shared" si="13"/>
        <v>14.26</v>
      </c>
      <c r="G833" s="211" t="s">
        <v>767</v>
      </c>
      <c r="H833" s="208"/>
    </row>
    <row r="834" spans="1:8" ht="15.75" customHeight="1" x14ac:dyDescent="0.25">
      <c r="A834" s="207" t="s">
        <v>1712</v>
      </c>
      <c r="B834" s="207" t="s">
        <v>1562</v>
      </c>
      <c r="C834" s="208"/>
      <c r="D834" s="209">
        <v>5.4</v>
      </c>
      <c r="E834" s="208"/>
      <c r="F834" s="209">
        <f t="shared" si="13"/>
        <v>0</v>
      </c>
      <c r="G834" s="207" t="s">
        <v>778</v>
      </c>
      <c r="H834" s="208"/>
    </row>
    <row r="835" spans="1:8" ht="15.75" customHeight="1" x14ac:dyDescent="0.25">
      <c r="A835" s="207" t="s">
        <v>1713</v>
      </c>
      <c r="B835" s="207" t="s">
        <v>1562</v>
      </c>
      <c r="C835" s="208"/>
      <c r="D835" s="209">
        <v>9.8000000000000007</v>
      </c>
      <c r="E835" s="208"/>
      <c r="F835" s="209">
        <f t="shared" si="13"/>
        <v>0</v>
      </c>
      <c r="G835" s="208"/>
      <c r="H835" s="208"/>
    </row>
    <row r="836" spans="1:8" ht="18" customHeight="1" x14ac:dyDescent="0.25">
      <c r="A836" s="207" t="s">
        <v>1714</v>
      </c>
      <c r="B836" s="207" t="s">
        <v>1562</v>
      </c>
      <c r="C836" s="208"/>
      <c r="D836" s="209">
        <v>32</v>
      </c>
      <c r="E836" s="208">
        <v>2</v>
      </c>
      <c r="F836" s="209">
        <f t="shared" si="13"/>
        <v>64</v>
      </c>
      <c r="G836" s="207" t="s">
        <v>778</v>
      </c>
      <c r="H836" s="208"/>
    </row>
    <row r="837" spans="1:8" ht="16.5" customHeight="1" x14ac:dyDescent="0.25">
      <c r="A837" s="207" t="s">
        <v>1715</v>
      </c>
      <c r="B837" s="207" t="s">
        <v>1562</v>
      </c>
      <c r="C837" s="208"/>
      <c r="D837" s="209">
        <v>41</v>
      </c>
      <c r="E837" s="208"/>
      <c r="F837" s="209">
        <f t="shared" si="13"/>
        <v>0</v>
      </c>
      <c r="G837" s="211" t="s">
        <v>778</v>
      </c>
      <c r="H837" s="208"/>
    </row>
    <row r="838" spans="1:8" ht="13.5" customHeight="1" x14ac:dyDescent="0.25">
      <c r="A838" s="207" t="s">
        <v>1716</v>
      </c>
      <c r="B838" s="207" t="s">
        <v>1562</v>
      </c>
      <c r="C838" s="208"/>
      <c r="D838" s="209">
        <v>13</v>
      </c>
      <c r="E838" s="208">
        <v>1.8</v>
      </c>
      <c r="F838" s="209">
        <f t="shared" si="13"/>
        <v>23.400000000000002</v>
      </c>
      <c r="G838" s="211" t="s">
        <v>767</v>
      </c>
      <c r="H838" s="208"/>
    </row>
    <row r="839" spans="1:8" ht="13.5" customHeight="1" x14ac:dyDescent="0.25">
      <c r="A839" s="207" t="s">
        <v>1717</v>
      </c>
      <c r="B839" s="207" t="s">
        <v>1562</v>
      </c>
      <c r="C839" s="208"/>
      <c r="D839" s="209">
        <v>8.4</v>
      </c>
      <c r="E839" s="208">
        <v>2</v>
      </c>
      <c r="F839" s="209">
        <f t="shared" si="13"/>
        <v>16.8</v>
      </c>
      <c r="G839" s="207"/>
      <c r="H839" s="208"/>
    </row>
    <row r="840" spans="1:8" ht="14.1" customHeight="1" x14ac:dyDescent="0.25">
      <c r="A840" s="207" t="s">
        <v>1718</v>
      </c>
      <c r="B840" s="207" t="s">
        <v>1562</v>
      </c>
      <c r="C840" s="208"/>
      <c r="D840" s="209">
        <v>32</v>
      </c>
      <c r="E840" s="208"/>
      <c r="F840" s="209">
        <f t="shared" si="13"/>
        <v>0</v>
      </c>
      <c r="G840" s="208"/>
      <c r="H840" s="208"/>
    </row>
    <row r="841" spans="1:8" ht="13.5" customHeight="1" x14ac:dyDescent="0.25">
      <c r="A841" s="224" t="s">
        <v>1719</v>
      </c>
      <c r="B841" s="207" t="s">
        <v>1720</v>
      </c>
      <c r="C841" s="208"/>
      <c r="D841" s="209">
        <v>5.5</v>
      </c>
      <c r="E841" s="208">
        <v>0</v>
      </c>
      <c r="F841" s="209">
        <f t="shared" si="13"/>
        <v>0</v>
      </c>
      <c r="G841" s="207" t="s">
        <v>778</v>
      </c>
      <c r="H841" s="208"/>
    </row>
    <row r="842" spans="1:8" ht="13.5" customHeight="1" x14ac:dyDescent="0.25">
      <c r="A842" s="224" t="s">
        <v>1721</v>
      </c>
      <c r="B842" s="207" t="s">
        <v>1720</v>
      </c>
      <c r="C842" s="208">
        <v>5</v>
      </c>
      <c r="D842" s="209">
        <v>35</v>
      </c>
      <c r="E842" s="208">
        <v>1.8</v>
      </c>
      <c r="F842" s="209">
        <f t="shared" si="13"/>
        <v>63</v>
      </c>
      <c r="G842" s="211" t="s">
        <v>767</v>
      </c>
      <c r="H842" s="208"/>
    </row>
    <row r="843" spans="1:8" ht="15.75" customHeight="1" x14ac:dyDescent="0.25">
      <c r="A843" s="224" t="s">
        <v>1722</v>
      </c>
      <c r="B843" s="207" t="s">
        <v>1720</v>
      </c>
      <c r="C843" s="208"/>
      <c r="D843" s="209">
        <v>103</v>
      </c>
      <c r="E843" s="208">
        <v>0.5</v>
      </c>
      <c r="F843" s="209">
        <f t="shared" si="13"/>
        <v>51.5</v>
      </c>
      <c r="G843" s="207" t="s">
        <v>778</v>
      </c>
      <c r="H843" s="208"/>
    </row>
    <row r="844" spans="1:8" ht="15.75" customHeight="1" x14ac:dyDescent="0.25">
      <c r="A844" s="224" t="s">
        <v>1723</v>
      </c>
      <c r="B844" s="207" t="s">
        <v>1720</v>
      </c>
      <c r="C844" s="208"/>
      <c r="D844" s="209">
        <v>93.25</v>
      </c>
      <c r="E844" s="208"/>
      <c r="F844" s="209">
        <f t="shared" si="13"/>
        <v>0</v>
      </c>
      <c r="G844" s="207" t="s">
        <v>778</v>
      </c>
      <c r="H844" s="208"/>
    </row>
    <row r="845" spans="1:8" ht="13.5" customHeight="1" x14ac:dyDescent="0.25">
      <c r="A845" s="212" t="s">
        <v>1724</v>
      </c>
      <c r="B845" s="207" t="s">
        <v>1720</v>
      </c>
      <c r="C845" s="208">
        <v>1.5</v>
      </c>
      <c r="D845" s="209">
        <v>38</v>
      </c>
      <c r="E845" s="208">
        <v>0</v>
      </c>
      <c r="F845" s="209">
        <f t="shared" si="13"/>
        <v>0</v>
      </c>
      <c r="G845" s="211" t="s">
        <v>778</v>
      </c>
      <c r="H845" s="208"/>
    </row>
    <row r="846" spans="1:8" ht="13.5" customHeight="1" x14ac:dyDescent="0.25">
      <c r="A846" s="212" t="s">
        <v>1725</v>
      </c>
      <c r="B846" s="208"/>
      <c r="C846" s="208">
        <v>1.2</v>
      </c>
      <c r="D846" s="209">
        <v>27</v>
      </c>
      <c r="E846" s="208"/>
      <c r="F846" s="209">
        <f t="shared" si="13"/>
        <v>0</v>
      </c>
      <c r="G846" s="211" t="s">
        <v>767</v>
      </c>
      <c r="H846" s="208"/>
    </row>
    <row r="847" spans="1:8" ht="15.75" customHeight="1" x14ac:dyDescent="0.25">
      <c r="A847" s="224" t="s">
        <v>1726</v>
      </c>
      <c r="B847" s="207" t="s">
        <v>1720</v>
      </c>
      <c r="C847" s="208"/>
      <c r="D847" s="209">
        <v>103</v>
      </c>
      <c r="E847" s="208">
        <v>1</v>
      </c>
      <c r="F847" s="209">
        <f t="shared" si="13"/>
        <v>103</v>
      </c>
      <c r="G847" s="208"/>
      <c r="H847" s="208"/>
    </row>
    <row r="848" spans="1:8" ht="15.75" customHeight="1" x14ac:dyDescent="0.25">
      <c r="A848" s="224" t="s">
        <v>1727</v>
      </c>
      <c r="B848" s="207" t="s">
        <v>1720</v>
      </c>
      <c r="C848" s="208"/>
      <c r="D848" s="209">
        <v>243</v>
      </c>
      <c r="E848" s="208">
        <v>1</v>
      </c>
      <c r="F848" s="209">
        <f t="shared" si="13"/>
        <v>243</v>
      </c>
      <c r="G848" s="214" t="s">
        <v>767</v>
      </c>
      <c r="H848" s="208"/>
    </row>
    <row r="849" spans="1:8" ht="15.75" customHeight="1" x14ac:dyDescent="0.25">
      <c r="A849" s="212" t="s">
        <v>1728</v>
      </c>
      <c r="B849" s="207" t="s">
        <v>1720</v>
      </c>
      <c r="C849" s="208">
        <v>6</v>
      </c>
      <c r="D849" s="209">
        <v>91.25</v>
      </c>
      <c r="E849" s="208"/>
      <c r="F849" s="209">
        <f t="shared" si="13"/>
        <v>0</v>
      </c>
      <c r="G849" s="208"/>
      <c r="H849" s="208"/>
    </row>
    <row r="850" spans="1:8" ht="15.75" customHeight="1" x14ac:dyDescent="0.25">
      <c r="A850" s="212" t="s">
        <v>1729</v>
      </c>
      <c r="B850" s="207" t="s">
        <v>1720</v>
      </c>
      <c r="C850" s="208">
        <v>2</v>
      </c>
      <c r="D850" s="209">
        <v>11.25</v>
      </c>
      <c r="E850" s="208"/>
      <c r="F850" s="209">
        <f t="shared" si="13"/>
        <v>0</v>
      </c>
      <c r="G850" s="208"/>
      <c r="H850" s="208"/>
    </row>
    <row r="851" spans="1:8" ht="15.75" customHeight="1" x14ac:dyDescent="0.25">
      <c r="A851" s="212" t="s">
        <v>1730</v>
      </c>
      <c r="B851" s="207" t="s">
        <v>1720</v>
      </c>
      <c r="C851" s="208"/>
      <c r="D851" s="209">
        <f>9.35*0.9</f>
        <v>8.4149999999999991</v>
      </c>
      <c r="E851" s="208"/>
      <c r="F851" s="209">
        <f t="shared" si="13"/>
        <v>0</v>
      </c>
      <c r="G851" s="208"/>
      <c r="H851" s="208"/>
    </row>
    <row r="852" spans="1:8" ht="15.75" customHeight="1" x14ac:dyDescent="0.25">
      <c r="A852" s="212" t="s">
        <v>1731</v>
      </c>
      <c r="B852" s="207" t="s">
        <v>1720</v>
      </c>
      <c r="C852" s="208"/>
      <c r="D852" s="209">
        <v>5.4</v>
      </c>
      <c r="E852" s="208">
        <v>0</v>
      </c>
      <c r="F852" s="209">
        <f t="shared" si="13"/>
        <v>0</v>
      </c>
      <c r="G852" s="211" t="s">
        <v>778</v>
      </c>
      <c r="H852" s="208"/>
    </row>
    <row r="853" spans="1:8" ht="15.75" customHeight="1" x14ac:dyDescent="0.25">
      <c r="A853" s="212" t="s">
        <v>1732</v>
      </c>
      <c r="B853" s="207" t="s">
        <v>1720</v>
      </c>
      <c r="C853" s="208"/>
      <c r="D853" s="209">
        <v>9.5</v>
      </c>
      <c r="E853" s="208"/>
      <c r="F853" s="209">
        <f t="shared" si="13"/>
        <v>0</v>
      </c>
      <c r="G853" s="211" t="s">
        <v>778</v>
      </c>
      <c r="H853" s="208"/>
    </row>
    <row r="854" spans="1:8" ht="15.75" customHeight="1" x14ac:dyDescent="0.25">
      <c r="A854" s="212" t="s">
        <v>1733</v>
      </c>
      <c r="B854" s="207" t="s">
        <v>1720</v>
      </c>
      <c r="C854" s="208">
        <v>2</v>
      </c>
      <c r="D854" s="209">
        <v>12.9</v>
      </c>
      <c r="E854" s="208"/>
      <c r="F854" s="209">
        <f t="shared" si="13"/>
        <v>0</v>
      </c>
      <c r="G854" s="211" t="s">
        <v>767</v>
      </c>
      <c r="H854" s="208"/>
    </row>
    <row r="855" spans="1:8" ht="13.5" customHeight="1" x14ac:dyDescent="0.25">
      <c r="A855" s="212" t="s">
        <v>1734</v>
      </c>
      <c r="B855" s="207" t="s">
        <v>1720</v>
      </c>
      <c r="C855" s="208">
        <v>2</v>
      </c>
      <c r="D855" s="209">
        <v>7.29</v>
      </c>
      <c r="E855" s="208"/>
      <c r="F855" s="209">
        <f t="shared" si="13"/>
        <v>0</v>
      </c>
      <c r="G855" s="208" t="s">
        <v>778</v>
      </c>
      <c r="H855" s="208"/>
    </row>
    <row r="856" spans="1:8" ht="9" hidden="1" customHeight="1" x14ac:dyDescent="0.25">
      <c r="A856" s="212" t="s">
        <v>1735</v>
      </c>
      <c r="B856" s="207" t="s">
        <v>1720</v>
      </c>
      <c r="C856" s="208"/>
      <c r="D856" s="209">
        <v>5.4</v>
      </c>
      <c r="E856" s="208"/>
      <c r="F856" s="209">
        <f t="shared" si="13"/>
        <v>0</v>
      </c>
      <c r="G856" s="208"/>
      <c r="H856" s="208"/>
    </row>
    <row r="857" spans="1:8" ht="16.5" customHeight="1" x14ac:dyDescent="0.25">
      <c r="A857" s="224" t="s">
        <v>1736</v>
      </c>
      <c r="B857" s="207" t="s">
        <v>1720</v>
      </c>
      <c r="C857" s="208"/>
      <c r="D857" s="209">
        <v>13.8</v>
      </c>
      <c r="E857" s="208"/>
      <c r="F857" s="209">
        <f t="shared" si="13"/>
        <v>0</v>
      </c>
      <c r="G857" s="211" t="s">
        <v>974</v>
      </c>
      <c r="H857" s="208"/>
    </row>
    <row r="858" spans="1:8" ht="15" customHeight="1" x14ac:dyDescent="0.25">
      <c r="A858" s="224" t="s">
        <v>1737</v>
      </c>
      <c r="B858" s="207" t="s">
        <v>1720</v>
      </c>
      <c r="C858" s="207" t="s">
        <v>896</v>
      </c>
      <c r="D858" s="209">
        <v>7</v>
      </c>
      <c r="E858" s="208"/>
      <c r="F858" s="209">
        <f t="shared" si="13"/>
        <v>0</v>
      </c>
      <c r="G858" s="211" t="s">
        <v>785</v>
      </c>
      <c r="H858" s="208"/>
    </row>
    <row r="859" spans="1:8" ht="18.75" customHeight="1" x14ac:dyDescent="0.25">
      <c r="A859" s="224" t="s">
        <v>1738</v>
      </c>
      <c r="B859" s="207" t="s">
        <v>1720</v>
      </c>
      <c r="C859" s="208"/>
      <c r="D859" s="209">
        <v>14</v>
      </c>
      <c r="E859" s="208"/>
      <c r="F859" s="209">
        <f t="shared" si="13"/>
        <v>0</v>
      </c>
      <c r="G859" s="208"/>
      <c r="H859" s="208"/>
    </row>
    <row r="860" spans="1:8" ht="13.5" customHeight="1" x14ac:dyDescent="0.25">
      <c r="A860" s="212" t="s">
        <v>1739</v>
      </c>
      <c r="B860" s="207" t="s">
        <v>1720</v>
      </c>
      <c r="C860" s="208">
        <v>2</v>
      </c>
      <c r="D860" s="209">
        <v>7.02</v>
      </c>
      <c r="E860" s="208">
        <v>2</v>
      </c>
      <c r="F860" s="209">
        <f t="shared" si="13"/>
        <v>14.04</v>
      </c>
      <c r="G860" s="211" t="s">
        <v>785</v>
      </c>
      <c r="H860" s="208"/>
    </row>
    <row r="861" spans="1:8" ht="13.7" customHeight="1" x14ac:dyDescent="0.25">
      <c r="A861" s="224" t="s">
        <v>1740</v>
      </c>
      <c r="B861" s="207" t="s">
        <v>1720</v>
      </c>
      <c r="C861" s="208"/>
      <c r="D861" s="209">
        <v>12.5</v>
      </c>
      <c r="E861" s="208"/>
      <c r="F861" s="209">
        <f t="shared" si="13"/>
        <v>0</v>
      </c>
      <c r="G861" s="208"/>
      <c r="H861" s="208"/>
    </row>
    <row r="862" spans="1:8" ht="13.5" customHeight="1" x14ac:dyDescent="0.25">
      <c r="A862" s="224" t="s">
        <v>1741</v>
      </c>
      <c r="B862" s="207" t="s">
        <v>1720</v>
      </c>
      <c r="C862" s="208"/>
      <c r="D862" s="209">
        <v>12.5</v>
      </c>
      <c r="E862" s="208"/>
      <c r="F862" s="209">
        <f t="shared" si="13"/>
        <v>0</v>
      </c>
      <c r="G862" s="208"/>
      <c r="H862" s="208"/>
    </row>
    <row r="863" spans="1:8" ht="13.5" customHeight="1" x14ac:dyDescent="0.25">
      <c r="A863" s="226" t="s">
        <v>1742</v>
      </c>
      <c r="B863" s="207" t="s">
        <v>1720</v>
      </c>
      <c r="C863" s="208"/>
      <c r="D863" s="209">
        <v>5.4</v>
      </c>
      <c r="E863" s="208"/>
      <c r="F863" s="209">
        <f t="shared" ref="F863:F926" si="14">D863:D863*E863:E863</f>
        <v>0</v>
      </c>
      <c r="G863" s="207" t="s">
        <v>778</v>
      </c>
      <c r="H863" s="208"/>
    </row>
    <row r="864" spans="1:8" ht="15.75" customHeight="1" x14ac:dyDescent="0.25">
      <c r="A864" s="224" t="s">
        <v>1743</v>
      </c>
      <c r="B864" s="207" t="s">
        <v>1720</v>
      </c>
      <c r="C864" s="208"/>
      <c r="D864" s="209">
        <v>12.9</v>
      </c>
      <c r="E864" s="208"/>
      <c r="F864" s="209">
        <f t="shared" si="14"/>
        <v>0</v>
      </c>
      <c r="G864" s="209"/>
      <c r="H864" s="208"/>
    </row>
    <row r="865" spans="1:8" ht="15.75" customHeight="1" x14ac:dyDescent="0.25">
      <c r="A865" s="224" t="s">
        <v>1668</v>
      </c>
      <c r="B865" s="207" t="s">
        <v>1720</v>
      </c>
      <c r="C865" s="208"/>
      <c r="D865" s="209">
        <v>9.5</v>
      </c>
      <c r="E865" s="208">
        <v>0</v>
      </c>
      <c r="F865" s="209">
        <f t="shared" si="14"/>
        <v>0</v>
      </c>
      <c r="G865" s="211" t="s">
        <v>900</v>
      </c>
      <c r="H865" s="208"/>
    </row>
    <row r="866" spans="1:8" ht="15.75" customHeight="1" x14ac:dyDescent="0.25">
      <c r="A866" s="212" t="s">
        <v>1744</v>
      </c>
      <c r="B866" s="207" t="s">
        <v>1745</v>
      </c>
      <c r="C866" s="208"/>
      <c r="D866" s="209">
        <v>8.99</v>
      </c>
      <c r="E866" s="208"/>
      <c r="F866" s="209">
        <f t="shared" si="14"/>
        <v>0</v>
      </c>
      <c r="G866" s="208"/>
      <c r="H866" s="208"/>
    </row>
    <row r="867" spans="1:8" ht="15.75" customHeight="1" x14ac:dyDescent="0.25">
      <c r="A867" s="212" t="s">
        <v>1746</v>
      </c>
      <c r="B867" s="207" t="s">
        <v>1747</v>
      </c>
      <c r="C867" s="208"/>
      <c r="D867" s="209">
        <v>5.5</v>
      </c>
      <c r="E867" s="210"/>
      <c r="F867" s="209">
        <f t="shared" si="14"/>
        <v>0</v>
      </c>
      <c r="G867" s="207" t="s">
        <v>778</v>
      </c>
      <c r="H867" s="208"/>
    </row>
    <row r="868" spans="1:8" ht="15.75" customHeight="1" x14ac:dyDescent="0.25">
      <c r="A868" s="212" t="s">
        <v>1748</v>
      </c>
      <c r="B868" s="207" t="s">
        <v>1747</v>
      </c>
      <c r="C868" s="208"/>
      <c r="D868" s="209">
        <v>7.95</v>
      </c>
      <c r="E868" s="210"/>
      <c r="F868" s="209">
        <f t="shared" si="14"/>
        <v>0</v>
      </c>
      <c r="G868" s="208"/>
      <c r="H868" s="208"/>
    </row>
    <row r="869" spans="1:8" ht="15.75" customHeight="1" x14ac:dyDescent="0.25">
      <c r="A869" s="212" t="s">
        <v>1749</v>
      </c>
      <c r="B869" s="207" t="s">
        <v>1747</v>
      </c>
      <c r="C869" s="208"/>
      <c r="D869" s="209">
        <v>29</v>
      </c>
      <c r="E869" s="210"/>
      <c r="F869" s="209">
        <f t="shared" si="14"/>
        <v>0</v>
      </c>
      <c r="G869" s="207"/>
      <c r="H869" s="208"/>
    </row>
    <row r="870" spans="1:8" ht="15.75" customHeight="1" x14ac:dyDescent="0.25">
      <c r="A870" s="212" t="s">
        <v>1750</v>
      </c>
      <c r="B870" s="208"/>
      <c r="C870" s="208"/>
      <c r="D870" s="209">
        <v>6.99</v>
      </c>
      <c r="E870" s="210"/>
      <c r="F870" s="209">
        <f t="shared" si="14"/>
        <v>0</v>
      </c>
      <c r="G870" s="208"/>
      <c r="H870" s="208"/>
    </row>
    <row r="871" spans="1:8" ht="15.75" customHeight="1" x14ac:dyDescent="0.25">
      <c r="A871" s="212" t="s">
        <v>1751</v>
      </c>
      <c r="B871" s="208"/>
      <c r="C871" s="208"/>
      <c r="D871" s="209">
        <v>9.59</v>
      </c>
      <c r="E871" s="210"/>
      <c r="F871" s="209">
        <f t="shared" si="14"/>
        <v>0</v>
      </c>
      <c r="G871" s="208"/>
      <c r="H871" s="208"/>
    </row>
    <row r="872" spans="1:8" ht="15.75" customHeight="1" x14ac:dyDescent="0.25">
      <c r="A872" s="212" t="s">
        <v>1752</v>
      </c>
      <c r="B872" s="208"/>
      <c r="C872" s="208"/>
      <c r="D872" s="209">
        <v>15</v>
      </c>
      <c r="E872" s="210">
        <v>2</v>
      </c>
      <c r="F872" s="209">
        <f t="shared" si="14"/>
        <v>30</v>
      </c>
      <c r="G872" s="211"/>
      <c r="H872" s="208"/>
    </row>
    <row r="873" spans="1:8" ht="15.75" customHeight="1" x14ac:dyDescent="0.25">
      <c r="A873" s="212" t="s">
        <v>1753</v>
      </c>
      <c r="B873" s="207" t="s">
        <v>1747</v>
      </c>
      <c r="C873" s="208">
        <v>0.3</v>
      </c>
      <c r="D873" s="209">
        <v>13.29</v>
      </c>
      <c r="E873" s="210"/>
      <c r="F873" s="209">
        <f t="shared" si="14"/>
        <v>0</v>
      </c>
      <c r="G873" s="207"/>
      <c r="H873" s="208"/>
    </row>
    <row r="874" spans="1:8" ht="15.75" customHeight="1" x14ac:dyDescent="0.25">
      <c r="A874" s="212" t="s">
        <v>1754</v>
      </c>
      <c r="B874" s="207" t="s">
        <v>1747</v>
      </c>
      <c r="C874" s="208"/>
      <c r="D874" s="209">
        <v>15.9</v>
      </c>
      <c r="E874" s="210"/>
      <c r="F874" s="209">
        <f t="shared" si="14"/>
        <v>0</v>
      </c>
      <c r="G874" s="208"/>
      <c r="H874" s="208"/>
    </row>
    <row r="875" spans="1:8" ht="15.75" customHeight="1" x14ac:dyDescent="0.25">
      <c r="A875" s="212" t="s">
        <v>1755</v>
      </c>
      <c r="B875" s="207" t="s">
        <v>1747</v>
      </c>
      <c r="C875" s="208"/>
      <c r="D875" s="209">
        <v>11.85</v>
      </c>
      <c r="E875" s="210"/>
      <c r="F875" s="209">
        <f t="shared" si="14"/>
        <v>0</v>
      </c>
      <c r="G875" s="211" t="s">
        <v>767</v>
      </c>
      <c r="H875" s="208"/>
    </row>
    <row r="876" spans="1:8" ht="15.75" customHeight="1" x14ac:dyDescent="0.25">
      <c r="A876" s="212" t="s">
        <v>1756</v>
      </c>
      <c r="B876" s="207" t="s">
        <v>1747</v>
      </c>
      <c r="C876" s="208"/>
      <c r="D876" s="209">
        <v>16.989999999999998</v>
      </c>
      <c r="E876" s="210"/>
      <c r="F876" s="209">
        <f t="shared" si="14"/>
        <v>0</v>
      </c>
      <c r="G876" s="208"/>
      <c r="H876" s="208"/>
    </row>
    <row r="877" spans="1:8" ht="15.75" customHeight="1" x14ac:dyDescent="0.25">
      <c r="A877" s="212" t="s">
        <v>1757</v>
      </c>
      <c r="B877" s="207" t="s">
        <v>1758</v>
      </c>
      <c r="C877" s="208">
        <v>0.8</v>
      </c>
      <c r="D877" s="209">
        <v>6.35</v>
      </c>
      <c r="E877" s="210">
        <v>1</v>
      </c>
      <c r="F877" s="209">
        <f t="shared" si="14"/>
        <v>6.35</v>
      </c>
      <c r="G877" s="211" t="s">
        <v>974</v>
      </c>
      <c r="H877" s="208"/>
    </row>
    <row r="878" spans="1:8" ht="15.75" customHeight="1" x14ac:dyDescent="0.25">
      <c r="A878" s="212" t="s">
        <v>1759</v>
      </c>
      <c r="B878" s="207" t="s">
        <v>1758</v>
      </c>
      <c r="C878" s="208">
        <v>0.8</v>
      </c>
      <c r="D878" s="209">
        <v>7</v>
      </c>
      <c r="E878" s="210">
        <v>0</v>
      </c>
      <c r="F878" s="209">
        <f t="shared" si="14"/>
        <v>0</v>
      </c>
      <c r="G878" s="211" t="s">
        <v>778</v>
      </c>
      <c r="H878" s="208"/>
    </row>
    <row r="879" spans="1:8" ht="13.5" customHeight="1" x14ac:dyDescent="0.25">
      <c r="A879" s="212" t="s">
        <v>1760</v>
      </c>
      <c r="B879" s="208"/>
      <c r="C879" s="208"/>
      <c r="D879" s="209">
        <v>8</v>
      </c>
      <c r="E879" s="210">
        <v>4</v>
      </c>
      <c r="F879" s="209">
        <f t="shared" si="14"/>
        <v>32</v>
      </c>
      <c r="G879" s="208"/>
      <c r="H879" s="208"/>
    </row>
    <row r="880" spans="1:8" ht="13.5" customHeight="1" x14ac:dyDescent="0.25">
      <c r="A880" s="212" t="s">
        <v>1761</v>
      </c>
      <c r="B880" s="208"/>
      <c r="C880" s="208"/>
      <c r="D880" s="209">
        <v>17</v>
      </c>
      <c r="E880" s="210">
        <v>4</v>
      </c>
      <c r="F880" s="209">
        <f t="shared" si="14"/>
        <v>68</v>
      </c>
      <c r="G880" s="214" t="s">
        <v>767</v>
      </c>
      <c r="H880" s="208"/>
    </row>
    <row r="881" spans="1:8" ht="15.75" customHeight="1" x14ac:dyDescent="0.25">
      <c r="A881" s="207" t="s">
        <v>1762</v>
      </c>
      <c r="B881" s="207" t="s">
        <v>1763</v>
      </c>
      <c r="C881" s="208"/>
      <c r="D881" s="209">
        <v>4</v>
      </c>
      <c r="E881" s="210">
        <v>10</v>
      </c>
      <c r="F881" s="209">
        <f t="shared" si="14"/>
        <v>40</v>
      </c>
      <c r="G881" s="208" t="s">
        <v>767</v>
      </c>
      <c r="H881" s="208"/>
    </row>
    <row r="882" spans="1:8" ht="15.75" customHeight="1" x14ac:dyDescent="0.25">
      <c r="A882" s="207" t="s">
        <v>1764</v>
      </c>
      <c r="B882" s="207" t="s">
        <v>1307</v>
      </c>
      <c r="C882" s="208"/>
      <c r="D882" s="209">
        <v>6.99</v>
      </c>
      <c r="E882" s="210"/>
      <c r="F882" s="209">
        <f t="shared" si="14"/>
        <v>0</v>
      </c>
      <c r="G882" s="208" t="s">
        <v>778</v>
      </c>
      <c r="H882" s="208"/>
    </row>
    <row r="883" spans="1:8" ht="15.75" customHeight="1" x14ac:dyDescent="0.25">
      <c r="A883" s="212" t="s">
        <v>1765</v>
      </c>
      <c r="B883" s="207" t="s">
        <v>1307</v>
      </c>
      <c r="C883" s="208"/>
      <c r="D883" s="209">
        <v>2.8</v>
      </c>
      <c r="E883" s="210">
        <v>3</v>
      </c>
      <c r="F883" s="209">
        <f t="shared" si="14"/>
        <v>8.3999999999999986</v>
      </c>
      <c r="G883" s="211" t="s">
        <v>767</v>
      </c>
      <c r="H883" s="208"/>
    </row>
    <row r="884" spans="1:8" ht="15.75" customHeight="1" x14ac:dyDescent="0.25">
      <c r="A884" s="212" t="s">
        <v>1766</v>
      </c>
      <c r="B884" s="207" t="s">
        <v>1307</v>
      </c>
      <c r="C884" s="208"/>
      <c r="D884" s="209">
        <v>19</v>
      </c>
      <c r="E884" s="210">
        <v>0.8</v>
      </c>
      <c r="F884" s="209">
        <f t="shared" si="14"/>
        <v>15.200000000000001</v>
      </c>
      <c r="G884" s="211" t="s">
        <v>767</v>
      </c>
      <c r="H884" s="208"/>
    </row>
    <row r="885" spans="1:8" ht="15.75" customHeight="1" x14ac:dyDescent="0.25">
      <c r="A885" s="212" t="s">
        <v>1767</v>
      </c>
      <c r="B885" s="207" t="s">
        <v>1307</v>
      </c>
      <c r="C885" s="208"/>
      <c r="D885" s="209">
        <v>38</v>
      </c>
      <c r="E885" s="210">
        <v>0.5</v>
      </c>
      <c r="F885" s="209">
        <f t="shared" si="14"/>
        <v>19</v>
      </c>
      <c r="G885" s="211" t="s">
        <v>767</v>
      </c>
      <c r="H885" s="208"/>
    </row>
    <row r="886" spans="1:8" ht="15.75" customHeight="1" x14ac:dyDescent="0.25">
      <c r="A886" s="212" t="s">
        <v>1768</v>
      </c>
      <c r="B886" s="208"/>
      <c r="C886" s="208"/>
      <c r="D886" s="209">
        <v>28</v>
      </c>
      <c r="E886" s="210">
        <v>0.8</v>
      </c>
      <c r="F886" s="209">
        <f t="shared" si="14"/>
        <v>22.400000000000002</v>
      </c>
      <c r="G886" s="211" t="s">
        <v>767</v>
      </c>
      <c r="H886" s="208"/>
    </row>
    <row r="887" spans="1:8" ht="15.75" customHeight="1" x14ac:dyDescent="0.25">
      <c r="A887" s="212" t="s">
        <v>1769</v>
      </c>
      <c r="B887" s="208"/>
      <c r="C887" s="208"/>
      <c r="D887" s="209">
        <v>21</v>
      </c>
      <c r="E887" s="210">
        <v>0</v>
      </c>
      <c r="F887" s="209">
        <f t="shared" si="14"/>
        <v>0</v>
      </c>
      <c r="G887" s="211" t="s">
        <v>778</v>
      </c>
      <c r="H887" s="208"/>
    </row>
    <row r="888" spans="1:8" ht="15.75" customHeight="1" x14ac:dyDescent="0.25">
      <c r="A888" s="212" t="s">
        <v>1770</v>
      </c>
      <c r="B888" s="208"/>
      <c r="C888" s="208"/>
      <c r="D888" s="209">
        <v>25</v>
      </c>
      <c r="E888" s="210">
        <v>0.6</v>
      </c>
      <c r="F888" s="209">
        <f t="shared" si="14"/>
        <v>15</v>
      </c>
      <c r="G888" s="211" t="s">
        <v>767</v>
      </c>
      <c r="H888" s="208"/>
    </row>
    <row r="889" spans="1:8" ht="15.75" customHeight="1" x14ac:dyDescent="0.25">
      <c r="A889" s="212" t="s">
        <v>1771</v>
      </c>
      <c r="B889" s="207" t="s">
        <v>1307</v>
      </c>
      <c r="C889" s="208"/>
      <c r="D889" s="209">
        <v>3.8</v>
      </c>
      <c r="E889" s="210"/>
      <c r="F889" s="209">
        <f t="shared" si="14"/>
        <v>0</v>
      </c>
      <c r="G889" s="208"/>
      <c r="H889" s="208"/>
    </row>
    <row r="890" spans="1:8" ht="15.75" customHeight="1" x14ac:dyDescent="0.25">
      <c r="A890" s="212" t="s">
        <v>1772</v>
      </c>
      <c r="B890" s="207" t="s">
        <v>1307</v>
      </c>
      <c r="C890" s="208"/>
      <c r="D890" s="209">
        <v>22.5</v>
      </c>
      <c r="E890" s="210">
        <v>0</v>
      </c>
      <c r="F890" s="209">
        <f t="shared" si="14"/>
        <v>0</v>
      </c>
      <c r="G890" s="211" t="s">
        <v>1773</v>
      </c>
      <c r="H890" s="208"/>
    </row>
    <row r="891" spans="1:8" ht="15.75" customHeight="1" x14ac:dyDescent="0.25">
      <c r="A891" s="212" t="s">
        <v>1774</v>
      </c>
      <c r="B891" s="207" t="s">
        <v>1307</v>
      </c>
      <c r="C891" s="208"/>
      <c r="D891" s="209">
        <v>2.9</v>
      </c>
      <c r="E891" s="208">
        <v>2</v>
      </c>
      <c r="F891" s="209">
        <f t="shared" si="14"/>
        <v>5.8</v>
      </c>
      <c r="G891" s="208" t="s">
        <v>767</v>
      </c>
      <c r="H891" s="208"/>
    </row>
    <row r="892" spans="1:8" ht="15.75" customHeight="1" x14ac:dyDescent="0.25">
      <c r="A892" s="212" t="s">
        <v>1775</v>
      </c>
      <c r="B892" s="207" t="s">
        <v>1307</v>
      </c>
      <c r="C892" s="208"/>
      <c r="D892" s="209">
        <v>4</v>
      </c>
      <c r="E892" s="208">
        <v>2</v>
      </c>
      <c r="F892" s="209">
        <f t="shared" si="14"/>
        <v>8</v>
      </c>
      <c r="G892" s="209" t="s">
        <v>767</v>
      </c>
      <c r="H892" s="208"/>
    </row>
    <row r="893" spans="1:8" ht="15.75" customHeight="1" x14ac:dyDescent="0.25">
      <c r="A893" s="212" t="s">
        <v>1776</v>
      </c>
      <c r="B893" s="207" t="s">
        <v>1307</v>
      </c>
      <c r="C893" s="208"/>
      <c r="D893" s="209">
        <v>1.8</v>
      </c>
      <c r="E893" s="208">
        <v>0</v>
      </c>
      <c r="F893" s="209">
        <f t="shared" si="14"/>
        <v>0</v>
      </c>
      <c r="G893" s="208" t="s">
        <v>778</v>
      </c>
      <c r="H893" s="208"/>
    </row>
    <row r="894" spans="1:8" ht="15.75" customHeight="1" x14ac:dyDescent="0.25">
      <c r="A894" s="212" t="s">
        <v>1777</v>
      </c>
      <c r="B894" s="208"/>
      <c r="C894" s="208"/>
      <c r="D894" s="209">
        <v>4.8</v>
      </c>
      <c r="E894" s="210">
        <v>3</v>
      </c>
      <c r="F894" s="209">
        <f t="shared" si="14"/>
        <v>14.399999999999999</v>
      </c>
      <c r="G894" s="208" t="s">
        <v>974</v>
      </c>
      <c r="H894" s="208"/>
    </row>
    <row r="895" spans="1:8" ht="15.75" customHeight="1" x14ac:dyDescent="0.25">
      <c r="A895" s="212" t="s">
        <v>1778</v>
      </c>
      <c r="B895" s="207" t="s">
        <v>1307</v>
      </c>
      <c r="C895" s="208"/>
      <c r="D895" s="209">
        <v>5.5</v>
      </c>
      <c r="E895" s="208">
        <v>1</v>
      </c>
      <c r="F895" s="209">
        <f t="shared" si="14"/>
        <v>5.5</v>
      </c>
      <c r="G895" s="208"/>
      <c r="H895" s="208"/>
    </row>
    <row r="896" spans="1:8" ht="15.75" customHeight="1" x14ac:dyDescent="0.25">
      <c r="A896" s="227" t="s">
        <v>1779</v>
      </c>
      <c r="B896" s="207" t="s">
        <v>1307</v>
      </c>
      <c r="C896" s="208"/>
      <c r="D896" s="209">
        <v>6.9</v>
      </c>
      <c r="E896" s="208">
        <v>1.5</v>
      </c>
      <c r="F896" s="209">
        <f t="shared" si="14"/>
        <v>10.350000000000001</v>
      </c>
      <c r="G896" s="211" t="s">
        <v>767</v>
      </c>
      <c r="H896" s="208"/>
    </row>
    <row r="897" spans="1:8" ht="15.75" customHeight="1" x14ac:dyDescent="0.25">
      <c r="A897" s="212" t="s">
        <v>1780</v>
      </c>
      <c r="B897" s="207" t="s">
        <v>1307</v>
      </c>
      <c r="C897" s="208"/>
      <c r="D897" s="209">
        <v>4.8</v>
      </c>
      <c r="E897" s="208"/>
      <c r="F897" s="209">
        <f t="shared" si="14"/>
        <v>0</v>
      </c>
      <c r="G897" s="208"/>
      <c r="H897" s="208"/>
    </row>
    <row r="898" spans="1:8" ht="15.75" customHeight="1" x14ac:dyDescent="0.25">
      <c r="A898" s="212" t="s">
        <v>1781</v>
      </c>
      <c r="B898" s="207" t="s">
        <v>1307</v>
      </c>
      <c r="C898" s="208"/>
      <c r="D898" s="209">
        <v>6.75</v>
      </c>
      <c r="E898" s="208">
        <v>0.15</v>
      </c>
      <c r="F898" s="209">
        <f t="shared" si="14"/>
        <v>1.0125</v>
      </c>
      <c r="G898" s="211" t="s">
        <v>974</v>
      </c>
      <c r="H898" s="208"/>
    </row>
    <row r="899" spans="1:8" ht="15.75" customHeight="1" x14ac:dyDescent="0.25">
      <c r="A899" s="212" t="s">
        <v>1782</v>
      </c>
      <c r="B899" s="207" t="s">
        <v>1307</v>
      </c>
      <c r="C899" s="208"/>
      <c r="D899" s="209">
        <v>6.9</v>
      </c>
      <c r="E899" s="208">
        <v>0.45</v>
      </c>
      <c r="F899" s="209">
        <f t="shared" si="14"/>
        <v>3.1050000000000004</v>
      </c>
      <c r="G899" s="211" t="s">
        <v>974</v>
      </c>
      <c r="H899" s="208"/>
    </row>
    <row r="900" spans="1:8" ht="15.75" customHeight="1" x14ac:dyDescent="0.25">
      <c r="A900" s="212" t="s">
        <v>1783</v>
      </c>
      <c r="B900" s="207" t="s">
        <v>1307</v>
      </c>
      <c r="C900" s="208"/>
      <c r="D900" s="209">
        <v>7</v>
      </c>
      <c r="E900" s="210">
        <v>2</v>
      </c>
      <c r="F900" s="209">
        <f t="shared" si="14"/>
        <v>14</v>
      </c>
      <c r="G900" s="207"/>
      <c r="H900" s="208"/>
    </row>
    <row r="901" spans="1:8" ht="15.75" customHeight="1" x14ac:dyDescent="0.25">
      <c r="A901" s="212" t="s">
        <v>1784</v>
      </c>
      <c r="B901" s="207" t="s">
        <v>1307</v>
      </c>
      <c r="C901" s="208"/>
      <c r="D901" s="209">
        <v>5</v>
      </c>
      <c r="E901" s="208">
        <v>2</v>
      </c>
      <c r="F901" s="209">
        <f t="shared" si="14"/>
        <v>10</v>
      </c>
      <c r="G901" s="207" t="s">
        <v>767</v>
      </c>
      <c r="H901" s="208"/>
    </row>
    <row r="902" spans="1:8" ht="15.75" customHeight="1" x14ac:dyDescent="0.25">
      <c r="A902" s="212" t="s">
        <v>1670</v>
      </c>
      <c r="B902" s="207" t="s">
        <v>1307</v>
      </c>
      <c r="C902" s="208"/>
      <c r="D902" s="209">
        <v>2</v>
      </c>
      <c r="E902" s="208">
        <v>1.5</v>
      </c>
      <c r="F902" s="209">
        <f t="shared" si="14"/>
        <v>3</v>
      </c>
      <c r="G902" s="211" t="s">
        <v>767</v>
      </c>
      <c r="H902" s="208"/>
    </row>
    <row r="903" spans="1:8" ht="15.75" customHeight="1" x14ac:dyDescent="0.25">
      <c r="A903" s="212" t="s">
        <v>1785</v>
      </c>
      <c r="B903" s="207" t="s">
        <v>1307</v>
      </c>
      <c r="C903" s="208"/>
      <c r="D903" s="209">
        <v>2</v>
      </c>
      <c r="E903" s="208">
        <v>4</v>
      </c>
      <c r="F903" s="209">
        <f t="shared" si="14"/>
        <v>8</v>
      </c>
      <c r="G903" s="211" t="s">
        <v>767</v>
      </c>
      <c r="H903" s="208"/>
    </row>
    <row r="904" spans="1:8" ht="15.75" customHeight="1" x14ac:dyDescent="0.25">
      <c r="A904" s="212" t="s">
        <v>1786</v>
      </c>
      <c r="B904" s="207" t="s">
        <v>1307</v>
      </c>
      <c r="C904" s="208"/>
      <c r="D904" s="209">
        <v>2</v>
      </c>
      <c r="E904" s="208">
        <v>5.5</v>
      </c>
      <c r="F904" s="209">
        <f t="shared" si="14"/>
        <v>11</v>
      </c>
      <c r="G904" s="211" t="s">
        <v>767</v>
      </c>
      <c r="H904" s="208"/>
    </row>
    <row r="905" spans="1:8" ht="15.75" customHeight="1" x14ac:dyDescent="0.25">
      <c r="A905" s="212" t="s">
        <v>1787</v>
      </c>
      <c r="B905" s="207" t="s">
        <v>1307</v>
      </c>
      <c r="C905" s="208"/>
      <c r="D905" s="209">
        <v>3.25</v>
      </c>
      <c r="E905" s="208">
        <v>0.9</v>
      </c>
      <c r="F905" s="209">
        <f t="shared" si="14"/>
        <v>2.9250000000000003</v>
      </c>
      <c r="G905" s="208" t="s">
        <v>767</v>
      </c>
      <c r="H905" s="208"/>
    </row>
    <row r="906" spans="1:8" ht="15.75" customHeight="1" x14ac:dyDescent="0.25">
      <c r="A906" s="212" t="s">
        <v>1788</v>
      </c>
      <c r="B906" s="207" t="s">
        <v>1307</v>
      </c>
      <c r="C906" s="208"/>
      <c r="D906" s="209">
        <v>5.0999999999999996</v>
      </c>
      <c r="E906" s="208"/>
      <c r="F906" s="209">
        <f t="shared" si="14"/>
        <v>0</v>
      </c>
      <c r="G906" s="208"/>
      <c r="H906" s="208"/>
    </row>
    <row r="907" spans="1:8" ht="15.75" customHeight="1" x14ac:dyDescent="0.25">
      <c r="A907" s="212" t="s">
        <v>1789</v>
      </c>
      <c r="B907" s="207" t="s">
        <v>1307</v>
      </c>
      <c r="C907" s="208"/>
      <c r="D907" s="209">
        <v>3.7</v>
      </c>
      <c r="E907" s="208"/>
      <c r="F907" s="209">
        <f t="shared" si="14"/>
        <v>0</v>
      </c>
      <c r="G907" s="208"/>
      <c r="H907" s="208"/>
    </row>
    <row r="908" spans="1:8" ht="15.75" customHeight="1" x14ac:dyDescent="0.25">
      <c r="A908" s="212" t="s">
        <v>1790</v>
      </c>
      <c r="B908" s="207" t="s">
        <v>1307</v>
      </c>
      <c r="C908" s="208"/>
      <c r="D908" s="209">
        <v>9</v>
      </c>
      <c r="E908" s="208">
        <v>0.2</v>
      </c>
      <c r="F908" s="209">
        <f t="shared" si="14"/>
        <v>1.8</v>
      </c>
      <c r="G908" s="207" t="s">
        <v>778</v>
      </c>
      <c r="H908" s="208"/>
    </row>
    <row r="909" spans="1:8" ht="15.75" customHeight="1" x14ac:dyDescent="0.25">
      <c r="A909" s="212" t="s">
        <v>1762</v>
      </c>
      <c r="B909" s="207" t="s">
        <v>1307</v>
      </c>
      <c r="C909" s="208"/>
      <c r="D909" s="209">
        <v>10</v>
      </c>
      <c r="E909" s="208">
        <v>2.5</v>
      </c>
      <c r="F909" s="209">
        <f t="shared" si="14"/>
        <v>25</v>
      </c>
      <c r="G909" s="207" t="s">
        <v>778</v>
      </c>
      <c r="H909" s="208"/>
    </row>
    <row r="910" spans="1:8" ht="15.75" customHeight="1" x14ac:dyDescent="0.25">
      <c r="A910" s="212" t="s">
        <v>1791</v>
      </c>
      <c r="B910" s="207" t="s">
        <v>1307</v>
      </c>
      <c r="C910" s="208"/>
      <c r="D910" s="209">
        <v>4.8</v>
      </c>
      <c r="E910" s="208">
        <v>1</v>
      </c>
      <c r="F910" s="209">
        <f t="shared" si="14"/>
        <v>4.8</v>
      </c>
      <c r="G910" s="211" t="s">
        <v>767</v>
      </c>
      <c r="H910" s="208"/>
    </row>
    <row r="911" spans="1:8" ht="15.75" customHeight="1" x14ac:dyDescent="0.25">
      <c r="A911" s="212" t="s">
        <v>1792</v>
      </c>
      <c r="B911" s="207" t="s">
        <v>1307</v>
      </c>
      <c r="C911" s="208"/>
      <c r="D911" s="209">
        <v>6</v>
      </c>
      <c r="E911" s="208"/>
      <c r="F911" s="209">
        <f t="shared" si="14"/>
        <v>0</v>
      </c>
      <c r="G911" s="228" t="s">
        <v>1793</v>
      </c>
      <c r="H911" s="208"/>
    </row>
    <row r="912" spans="1:8" ht="15.75" customHeight="1" x14ac:dyDescent="0.25">
      <c r="A912" s="212" t="s">
        <v>1794</v>
      </c>
      <c r="B912" s="207" t="s">
        <v>1307</v>
      </c>
      <c r="C912" s="208"/>
      <c r="D912" s="209">
        <v>4.2</v>
      </c>
      <c r="E912" s="208">
        <v>2</v>
      </c>
      <c r="F912" s="209">
        <f t="shared" si="14"/>
        <v>8.4</v>
      </c>
      <c r="G912" s="208"/>
      <c r="H912" s="208"/>
    </row>
    <row r="913" spans="1:8" ht="15.75" customHeight="1" x14ac:dyDescent="0.25">
      <c r="A913" s="212" t="s">
        <v>1795</v>
      </c>
      <c r="B913" s="207" t="s">
        <v>1307</v>
      </c>
      <c r="C913" s="208"/>
      <c r="D913" s="209">
        <v>4</v>
      </c>
      <c r="E913" s="208">
        <v>6</v>
      </c>
      <c r="F913" s="209">
        <f t="shared" si="14"/>
        <v>24</v>
      </c>
      <c r="G913" s="208"/>
      <c r="H913" s="208"/>
    </row>
    <row r="914" spans="1:8" ht="15.75" customHeight="1" x14ac:dyDescent="0.25">
      <c r="A914" s="212" t="s">
        <v>1796</v>
      </c>
      <c r="B914" s="207" t="s">
        <v>1307</v>
      </c>
      <c r="C914" s="208"/>
      <c r="D914" s="209">
        <v>3</v>
      </c>
      <c r="E914" s="208">
        <v>0.9</v>
      </c>
      <c r="F914" s="209">
        <f t="shared" si="14"/>
        <v>2.7</v>
      </c>
      <c r="G914" s="211" t="s">
        <v>767</v>
      </c>
      <c r="H914" s="208"/>
    </row>
    <row r="915" spans="1:8" ht="15.75" customHeight="1" x14ac:dyDescent="0.25">
      <c r="A915" s="212" t="s">
        <v>1797</v>
      </c>
      <c r="B915" s="207"/>
      <c r="C915" s="208"/>
      <c r="D915" s="209">
        <v>14</v>
      </c>
      <c r="E915" s="208">
        <v>1.2</v>
      </c>
      <c r="F915" s="209">
        <f t="shared" si="14"/>
        <v>16.8</v>
      </c>
      <c r="G915" s="209"/>
      <c r="H915" s="208"/>
    </row>
    <row r="916" spans="1:8" ht="15.75" customHeight="1" x14ac:dyDescent="0.25">
      <c r="A916" s="212" t="s">
        <v>1798</v>
      </c>
      <c r="B916" s="207" t="s">
        <v>1799</v>
      </c>
      <c r="C916" s="208"/>
      <c r="D916" s="209">
        <v>16</v>
      </c>
      <c r="E916" s="208">
        <v>5</v>
      </c>
      <c r="F916" s="209">
        <f t="shared" si="14"/>
        <v>80</v>
      </c>
      <c r="G916" s="208"/>
      <c r="H916" s="208"/>
    </row>
    <row r="917" spans="1:8" ht="15.75" customHeight="1" x14ac:dyDescent="0.25">
      <c r="A917" s="212" t="s">
        <v>1800</v>
      </c>
      <c r="B917" s="208"/>
      <c r="C917" s="208"/>
      <c r="D917" s="209">
        <v>4</v>
      </c>
      <c r="E917" s="208">
        <v>6</v>
      </c>
      <c r="F917" s="209">
        <f t="shared" si="14"/>
        <v>24</v>
      </c>
      <c r="G917" s="208"/>
      <c r="H917" s="208"/>
    </row>
    <row r="918" spans="1:8" ht="15.75" customHeight="1" x14ac:dyDescent="0.25">
      <c r="A918" s="212" t="s">
        <v>1801</v>
      </c>
      <c r="B918" s="207" t="s">
        <v>1307</v>
      </c>
      <c r="C918" s="208"/>
      <c r="D918" s="209">
        <v>3.7</v>
      </c>
      <c r="E918" s="208">
        <v>1</v>
      </c>
      <c r="F918" s="209">
        <f t="shared" si="14"/>
        <v>3.7</v>
      </c>
      <c r="G918" s="208"/>
      <c r="H918" s="208"/>
    </row>
    <row r="919" spans="1:8" ht="15.75" customHeight="1" x14ac:dyDescent="0.25">
      <c r="A919" s="212" t="s">
        <v>1802</v>
      </c>
      <c r="B919" s="207" t="s">
        <v>1307</v>
      </c>
      <c r="C919" s="208"/>
      <c r="D919" s="209">
        <v>12</v>
      </c>
      <c r="E919" s="208">
        <v>4.2</v>
      </c>
      <c r="F919" s="209">
        <f t="shared" si="14"/>
        <v>50.400000000000006</v>
      </c>
      <c r="G919" s="211" t="s">
        <v>767</v>
      </c>
      <c r="H919" s="208"/>
    </row>
    <row r="920" spans="1:8" ht="15.75" customHeight="1" x14ac:dyDescent="0.25">
      <c r="A920" s="212" t="s">
        <v>1803</v>
      </c>
      <c r="B920" s="207" t="s">
        <v>1307</v>
      </c>
      <c r="C920" s="208"/>
      <c r="D920" s="209">
        <v>18</v>
      </c>
      <c r="E920" s="208">
        <v>3</v>
      </c>
      <c r="F920" s="209">
        <f t="shared" si="14"/>
        <v>54</v>
      </c>
      <c r="G920" s="208"/>
      <c r="H920" s="208"/>
    </row>
    <row r="921" spans="1:8" ht="15.75" customHeight="1" x14ac:dyDescent="0.25">
      <c r="A921" s="212" t="s">
        <v>1804</v>
      </c>
      <c r="B921" s="207" t="s">
        <v>1307</v>
      </c>
      <c r="C921" s="208"/>
      <c r="D921" s="209">
        <v>12</v>
      </c>
      <c r="E921" s="208">
        <v>3</v>
      </c>
      <c r="F921" s="209">
        <f t="shared" si="14"/>
        <v>36</v>
      </c>
      <c r="G921" s="208"/>
      <c r="H921" s="208"/>
    </row>
    <row r="922" spans="1:8" ht="15.75" customHeight="1" x14ac:dyDescent="0.25">
      <c r="A922" s="212" t="s">
        <v>1805</v>
      </c>
      <c r="B922" s="207" t="s">
        <v>1307</v>
      </c>
      <c r="C922" s="208"/>
      <c r="D922" s="209">
        <v>4.4000000000000004</v>
      </c>
      <c r="E922" s="208">
        <v>1</v>
      </c>
      <c r="F922" s="209">
        <f t="shared" si="14"/>
        <v>4.4000000000000004</v>
      </c>
      <c r="G922" s="208"/>
      <c r="H922" s="208"/>
    </row>
    <row r="923" spans="1:8" ht="15.75" customHeight="1" x14ac:dyDescent="0.25">
      <c r="A923" s="212" t="s">
        <v>1806</v>
      </c>
      <c r="B923" s="207" t="s">
        <v>1307</v>
      </c>
      <c r="C923" s="208"/>
      <c r="D923" s="209">
        <v>3</v>
      </c>
      <c r="E923" s="208">
        <v>2</v>
      </c>
      <c r="F923" s="209">
        <f t="shared" si="14"/>
        <v>6</v>
      </c>
      <c r="G923" s="208"/>
      <c r="H923" s="208"/>
    </row>
    <row r="924" spans="1:8" ht="15.75" customHeight="1" x14ac:dyDescent="0.25">
      <c r="A924" s="212" t="s">
        <v>1807</v>
      </c>
      <c r="B924" s="207" t="s">
        <v>1307</v>
      </c>
      <c r="C924" s="208"/>
      <c r="D924" s="209">
        <v>6.5</v>
      </c>
      <c r="E924" s="208">
        <v>2</v>
      </c>
      <c r="F924" s="209">
        <f t="shared" si="14"/>
        <v>13</v>
      </c>
      <c r="G924" s="207" t="s">
        <v>778</v>
      </c>
      <c r="H924" s="208"/>
    </row>
    <row r="925" spans="1:8" ht="15.75" customHeight="1" x14ac:dyDescent="0.25">
      <c r="A925" s="212" t="s">
        <v>1808</v>
      </c>
      <c r="B925" s="207" t="s">
        <v>1307</v>
      </c>
      <c r="C925" s="207" t="s">
        <v>1809</v>
      </c>
      <c r="D925" s="209">
        <v>12.99</v>
      </c>
      <c r="E925" s="208">
        <v>2</v>
      </c>
      <c r="F925" s="209">
        <f t="shared" si="14"/>
        <v>25.98</v>
      </c>
      <c r="G925" s="208"/>
      <c r="H925" s="208"/>
    </row>
    <row r="926" spans="1:8" ht="15.75" customHeight="1" x14ac:dyDescent="0.25">
      <c r="A926" s="212" t="s">
        <v>1810</v>
      </c>
      <c r="B926" s="207" t="s">
        <v>1307</v>
      </c>
      <c r="C926" s="208"/>
      <c r="D926" s="209">
        <v>2.7</v>
      </c>
      <c r="E926" s="208">
        <v>0</v>
      </c>
      <c r="F926" s="209">
        <f t="shared" si="14"/>
        <v>0</v>
      </c>
      <c r="G926" s="211" t="s">
        <v>809</v>
      </c>
      <c r="H926" s="208"/>
    </row>
    <row r="927" spans="1:8" ht="15.75" customHeight="1" x14ac:dyDescent="0.25">
      <c r="A927" s="212" t="s">
        <v>1811</v>
      </c>
      <c r="B927" s="207" t="s">
        <v>1307</v>
      </c>
      <c r="C927" s="208"/>
      <c r="D927" s="209">
        <v>4.7</v>
      </c>
      <c r="E927" s="208">
        <v>0</v>
      </c>
      <c r="F927" s="209">
        <f t="shared" ref="F927:F991" si="15">D927:D927*E927:E927</f>
        <v>0</v>
      </c>
      <c r="G927" s="211" t="s">
        <v>809</v>
      </c>
      <c r="H927" s="208"/>
    </row>
    <row r="928" spans="1:8" ht="15.75" customHeight="1" x14ac:dyDescent="0.25">
      <c r="A928" s="212" t="s">
        <v>1812</v>
      </c>
      <c r="B928" s="207" t="s">
        <v>1307</v>
      </c>
      <c r="C928" s="208"/>
      <c r="D928" s="209">
        <v>4</v>
      </c>
      <c r="E928" s="208">
        <v>1</v>
      </c>
      <c r="F928" s="209">
        <f t="shared" si="15"/>
        <v>4</v>
      </c>
      <c r="G928" s="208"/>
      <c r="H928" s="208"/>
    </row>
    <row r="929" spans="1:8" ht="15.75" customHeight="1" x14ac:dyDescent="0.25">
      <c r="A929" s="212" t="s">
        <v>1813</v>
      </c>
      <c r="B929" s="207" t="s">
        <v>1307</v>
      </c>
      <c r="C929" s="208"/>
      <c r="D929" s="209">
        <v>2</v>
      </c>
      <c r="E929" s="208"/>
      <c r="F929" s="209">
        <f t="shared" si="15"/>
        <v>0</v>
      </c>
      <c r="G929" s="208"/>
      <c r="H929" s="208"/>
    </row>
    <row r="930" spans="1:8" ht="15.75" customHeight="1" x14ac:dyDescent="0.25">
      <c r="A930" s="212" t="s">
        <v>1814</v>
      </c>
      <c r="B930" s="207" t="s">
        <v>1307</v>
      </c>
      <c r="C930" s="208"/>
      <c r="D930" s="209">
        <v>5.99</v>
      </c>
      <c r="E930" s="208"/>
      <c r="F930" s="209">
        <f t="shared" si="15"/>
        <v>0</v>
      </c>
      <c r="G930" s="208"/>
      <c r="H930" s="208"/>
    </row>
    <row r="931" spans="1:8" ht="15.75" customHeight="1" x14ac:dyDescent="0.25">
      <c r="A931" s="212" t="s">
        <v>1815</v>
      </c>
      <c r="B931" s="207" t="s">
        <v>1307</v>
      </c>
      <c r="C931" s="208"/>
      <c r="D931" s="209">
        <v>12</v>
      </c>
      <c r="E931" s="208"/>
      <c r="F931" s="209">
        <f t="shared" si="15"/>
        <v>0</v>
      </c>
      <c r="G931" s="208"/>
      <c r="H931" s="208"/>
    </row>
    <row r="932" spans="1:8" ht="15.75" customHeight="1" x14ac:dyDescent="0.25">
      <c r="A932" s="212" t="s">
        <v>1816</v>
      </c>
      <c r="B932" s="207" t="s">
        <v>1307</v>
      </c>
      <c r="C932" s="208"/>
      <c r="D932" s="209">
        <v>1.3</v>
      </c>
      <c r="E932" s="208"/>
      <c r="F932" s="209">
        <f t="shared" si="15"/>
        <v>0</v>
      </c>
      <c r="G932" s="207" t="s">
        <v>778</v>
      </c>
      <c r="H932" s="208"/>
    </row>
    <row r="933" spans="1:8" ht="15.75" customHeight="1" x14ac:dyDescent="0.25">
      <c r="A933" s="212" t="s">
        <v>1817</v>
      </c>
      <c r="B933" s="207" t="s">
        <v>1307</v>
      </c>
      <c r="C933" s="208"/>
      <c r="D933" s="209">
        <v>14</v>
      </c>
      <c r="E933" s="208"/>
      <c r="F933" s="209">
        <f t="shared" si="15"/>
        <v>0</v>
      </c>
      <c r="G933" s="208"/>
      <c r="H933" s="208"/>
    </row>
    <row r="934" spans="1:8" ht="15.75" customHeight="1" x14ac:dyDescent="0.25">
      <c r="A934" s="212" t="s">
        <v>1818</v>
      </c>
      <c r="B934" s="207" t="s">
        <v>1307</v>
      </c>
      <c r="C934" s="208"/>
      <c r="D934" s="209">
        <v>7.99</v>
      </c>
      <c r="E934" s="208"/>
      <c r="F934" s="209">
        <f t="shared" si="15"/>
        <v>0</v>
      </c>
      <c r="G934" s="208"/>
      <c r="H934" s="208"/>
    </row>
    <row r="935" spans="1:8" ht="15.75" customHeight="1" x14ac:dyDescent="0.25">
      <c r="A935" s="212" t="s">
        <v>1819</v>
      </c>
      <c r="B935" s="207" t="s">
        <v>1307</v>
      </c>
      <c r="C935" s="208"/>
      <c r="D935" s="209">
        <v>14</v>
      </c>
      <c r="E935" s="208">
        <v>1</v>
      </c>
      <c r="F935" s="209">
        <f t="shared" si="15"/>
        <v>14</v>
      </c>
      <c r="G935" s="208" t="s">
        <v>809</v>
      </c>
      <c r="H935" s="208"/>
    </row>
    <row r="936" spans="1:8" ht="15.75" customHeight="1" x14ac:dyDescent="0.25">
      <c r="A936" s="212" t="s">
        <v>1820</v>
      </c>
      <c r="B936" s="207" t="s">
        <v>1307</v>
      </c>
      <c r="C936" s="208"/>
      <c r="D936" s="209">
        <v>12.99</v>
      </c>
      <c r="E936" s="208"/>
      <c r="F936" s="209">
        <f t="shared" si="15"/>
        <v>0</v>
      </c>
      <c r="G936" s="208"/>
      <c r="H936" s="208"/>
    </row>
    <row r="937" spans="1:8" ht="15.75" customHeight="1" x14ac:dyDescent="0.25">
      <c r="A937" s="212" t="s">
        <v>1821</v>
      </c>
      <c r="B937" s="207" t="s">
        <v>1307</v>
      </c>
      <c r="C937" s="208"/>
      <c r="D937" s="209">
        <v>1.3</v>
      </c>
      <c r="E937" s="208"/>
      <c r="F937" s="209">
        <f t="shared" si="15"/>
        <v>0</v>
      </c>
      <c r="G937" s="208"/>
      <c r="H937" s="208"/>
    </row>
    <row r="938" spans="1:8" ht="15.75" customHeight="1" x14ac:dyDescent="0.25">
      <c r="A938" s="219" t="s">
        <v>1822</v>
      </c>
      <c r="B938" s="208"/>
      <c r="C938" s="208"/>
      <c r="D938" s="209">
        <v>6</v>
      </c>
      <c r="E938" s="208">
        <v>0</v>
      </c>
      <c r="F938" s="209">
        <f t="shared" si="15"/>
        <v>0</v>
      </c>
      <c r="G938" s="208" t="s">
        <v>778</v>
      </c>
      <c r="H938" s="208"/>
    </row>
    <row r="939" spans="1:8" ht="15.75" customHeight="1" x14ac:dyDescent="0.25">
      <c r="A939" s="212" t="s">
        <v>1823</v>
      </c>
      <c r="B939" s="207" t="s">
        <v>1307</v>
      </c>
      <c r="C939" s="208"/>
      <c r="D939" s="209">
        <v>7.99</v>
      </c>
      <c r="E939" s="208"/>
      <c r="F939" s="209">
        <f t="shared" si="15"/>
        <v>0</v>
      </c>
      <c r="G939" s="208"/>
      <c r="H939" s="208"/>
    </row>
    <row r="940" spans="1:8" ht="15.75" customHeight="1" x14ac:dyDescent="0.25">
      <c r="A940" s="212" t="s">
        <v>1824</v>
      </c>
      <c r="B940" s="207" t="s">
        <v>1307</v>
      </c>
      <c r="C940" s="208"/>
      <c r="D940" s="209">
        <v>4</v>
      </c>
      <c r="E940" s="208">
        <v>2</v>
      </c>
      <c r="F940" s="209">
        <f t="shared" si="15"/>
        <v>8</v>
      </c>
      <c r="G940" s="208"/>
      <c r="H940" s="208"/>
    </row>
    <row r="941" spans="1:8" ht="15.75" customHeight="1" x14ac:dyDescent="0.25">
      <c r="A941" s="212" t="s">
        <v>1825</v>
      </c>
      <c r="B941" s="207" t="s">
        <v>1307</v>
      </c>
      <c r="C941" s="208">
        <v>0.5</v>
      </c>
      <c r="D941" s="209">
        <v>6.8</v>
      </c>
      <c r="E941" s="208"/>
      <c r="F941" s="209">
        <f t="shared" si="15"/>
        <v>0</v>
      </c>
      <c r="G941" s="208"/>
      <c r="H941" s="208"/>
    </row>
    <row r="942" spans="1:8" ht="15.75" customHeight="1" x14ac:dyDescent="0.25">
      <c r="A942" s="212" t="s">
        <v>1826</v>
      </c>
      <c r="B942" s="207"/>
      <c r="C942" s="208"/>
      <c r="D942" s="209">
        <v>6</v>
      </c>
      <c r="E942" s="208">
        <v>3</v>
      </c>
      <c r="F942" s="209">
        <f>D942:D942*E942:E942</f>
        <v>18</v>
      </c>
      <c r="G942" s="208" t="s">
        <v>767</v>
      </c>
      <c r="H942" s="208"/>
    </row>
    <row r="943" spans="1:8" ht="15.75" customHeight="1" x14ac:dyDescent="0.25">
      <c r="A943" s="212" t="s">
        <v>1558</v>
      </c>
      <c r="B943" s="207" t="s">
        <v>1827</v>
      </c>
      <c r="C943" s="208"/>
      <c r="D943" s="209">
        <v>7</v>
      </c>
      <c r="E943" s="208"/>
      <c r="F943" s="209">
        <f t="shared" si="15"/>
        <v>0</v>
      </c>
      <c r="G943" s="208"/>
      <c r="H943" s="208"/>
    </row>
    <row r="944" spans="1:8" ht="15.75" customHeight="1" x14ac:dyDescent="0.25">
      <c r="A944" s="212" t="s">
        <v>1828</v>
      </c>
      <c r="B944" s="207" t="s">
        <v>1827</v>
      </c>
      <c r="C944" s="208"/>
      <c r="D944" s="209">
        <v>8.3000000000000007</v>
      </c>
      <c r="E944" s="208"/>
      <c r="F944" s="209">
        <f t="shared" si="15"/>
        <v>0</v>
      </c>
      <c r="G944" s="208"/>
      <c r="H944" s="208"/>
    </row>
    <row r="945" spans="1:8" ht="15.75" customHeight="1" x14ac:dyDescent="0.25">
      <c r="A945" s="212" t="s">
        <v>1829</v>
      </c>
      <c r="B945" s="207" t="s">
        <v>1827</v>
      </c>
      <c r="C945" s="208"/>
      <c r="D945" s="209">
        <v>4</v>
      </c>
      <c r="E945" s="208">
        <v>2</v>
      </c>
      <c r="F945" s="209">
        <f t="shared" si="15"/>
        <v>8</v>
      </c>
      <c r="G945" s="207" t="s">
        <v>900</v>
      </c>
      <c r="H945" s="208"/>
    </row>
    <row r="946" spans="1:8" ht="15.75" customHeight="1" x14ac:dyDescent="0.25">
      <c r="A946" s="212" t="s">
        <v>1830</v>
      </c>
      <c r="B946" s="207" t="s">
        <v>1827</v>
      </c>
      <c r="C946" s="208"/>
      <c r="D946" s="209">
        <v>2.9</v>
      </c>
      <c r="E946" s="208"/>
      <c r="F946" s="209">
        <f t="shared" si="15"/>
        <v>0</v>
      </c>
      <c r="G946" s="209"/>
      <c r="H946" s="208"/>
    </row>
    <row r="947" spans="1:8" ht="15.75" customHeight="1" x14ac:dyDescent="0.25">
      <c r="A947" s="212" t="s">
        <v>1831</v>
      </c>
      <c r="B947" s="207" t="s">
        <v>1827</v>
      </c>
      <c r="C947" s="208">
        <v>1</v>
      </c>
      <c r="D947" s="209">
        <v>14.6</v>
      </c>
      <c r="E947" s="208">
        <v>33</v>
      </c>
      <c r="F947" s="209">
        <f t="shared" si="15"/>
        <v>481.8</v>
      </c>
      <c r="G947" s="211" t="s">
        <v>767</v>
      </c>
      <c r="H947" s="208"/>
    </row>
    <row r="948" spans="1:8" ht="15.75" customHeight="1" x14ac:dyDescent="0.25">
      <c r="A948" s="212" t="s">
        <v>1832</v>
      </c>
      <c r="B948" s="208"/>
      <c r="C948" s="208">
        <v>0.30499999999999999</v>
      </c>
      <c r="D948" s="209">
        <v>9.1</v>
      </c>
      <c r="E948" s="208"/>
      <c r="F948" s="209">
        <f t="shared" si="15"/>
        <v>0</v>
      </c>
      <c r="G948" s="208"/>
      <c r="H948" s="208"/>
    </row>
    <row r="949" spans="1:8" ht="15.75" customHeight="1" x14ac:dyDescent="0.25">
      <c r="A949" s="212" t="s">
        <v>1833</v>
      </c>
      <c r="B949" s="207" t="s">
        <v>1834</v>
      </c>
      <c r="C949" s="208"/>
      <c r="D949" s="209">
        <v>60</v>
      </c>
      <c r="E949" s="208">
        <v>0.5</v>
      </c>
      <c r="F949" s="209">
        <f t="shared" si="15"/>
        <v>30</v>
      </c>
      <c r="G949" s="208"/>
      <c r="H949" s="208"/>
    </row>
    <row r="950" spans="1:8" ht="15.75" customHeight="1" x14ac:dyDescent="0.25">
      <c r="A950" s="212" t="s">
        <v>1835</v>
      </c>
      <c r="B950" s="207" t="s">
        <v>1836</v>
      </c>
      <c r="C950" s="208"/>
      <c r="D950" s="209">
        <v>196.8</v>
      </c>
      <c r="E950" s="208">
        <v>0.4</v>
      </c>
      <c r="F950" s="209">
        <f t="shared" si="15"/>
        <v>78.720000000000013</v>
      </c>
      <c r="G950" s="208"/>
      <c r="H950" s="208"/>
    </row>
    <row r="951" spans="1:8" ht="15.75" customHeight="1" x14ac:dyDescent="0.25">
      <c r="A951" s="212" t="s">
        <v>1837</v>
      </c>
      <c r="B951" s="207" t="s">
        <v>1836</v>
      </c>
      <c r="C951" s="208"/>
      <c r="D951" s="209">
        <v>99.5</v>
      </c>
      <c r="E951" s="208"/>
      <c r="F951" s="209">
        <f t="shared" si="15"/>
        <v>0</v>
      </c>
      <c r="G951" s="207" t="s">
        <v>778</v>
      </c>
      <c r="H951" s="208"/>
    </row>
    <row r="952" spans="1:8" ht="15.75" customHeight="1" x14ac:dyDescent="0.25">
      <c r="A952" s="212" t="s">
        <v>1838</v>
      </c>
      <c r="B952" s="207" t="s">
        <v>1839</v>
      </c>
      <c r="C952" s="208"/>
      <c r="D952" s="209">
        <v>30</v>
      </c>
      <c r="E952" s="208">
        <v>0.8</v>
      </c>
      <c r="F952" s="209">
        <f t="shared" si="15"/>
        <v>24</v>
      </c>
      <c r="G952" s="209"/>
      <c r="H952" s="208"/>
    </row>
    <row r="953" spans="1:8" ht="15.75" customHeight="1" x14ac:dyDescent="0.25">
      <c r="A953" s="212" t="s">
        <v>1840</v>
      </c>
      <c r="B953" s="207" t="s">
        <v>1841</v>
      </c>
      <c r="C953" s="208"/>
      <c r="D953" s="209">
        <v>10</v>
      </c>
      <c r="E953" s="208">
        <v>0</v>
      </c>
      <c r="F953" s="209">
        <f t="shared" si="15"/>
        <v>0</v>
      </c>
      <c r="G953" s="208"/>
      <c r="H953" s="208"/>
    </row>
    <row r="954" spans="1:8" ht="15.75" customHeight="1" x14ac:dyDescent="0.25">
      <c r="A954" s="212" t="s">
        <v>1842</v>
      </c>
      <c r="B954" s="207" t="s">
        <v>1843</v>
      </c>
      <c r="C954" s="214" t="s">
        <v>1844</v>
      </c>
      <c r="D954" s="209">
        <v>12</v>
      </c>
      <c r="E954" s="208"/>
      <c r="F954" s="209">
        <f t="shared" si="15"/>
        <v>0</v>
      </c>
      <c r="G954" s="211"/>
      <c r="H954" s="208"/>
    </row>
    <row r="955" spans="1:8" ht="15.75" customHeight="1" x14ac:dyDescent="0.25">
      <c r="A955" s="212" t="s">
        <v>1845</v>
      </c>
      <c r="B955" s="207" t="s">
        <v>1846</v>
      </c>
      <c r="C955" s="208"/>
      <c r="D955" s="209">
        <v>9</v>
      </c>
      <c r="E955" s="208"/>
      <c r="F955" s="209">
        <f t="shared" si="15"/>
        <v>0</v>
      </c>
      <c r="G955" s="208"/>
      <c r="H955" s="208"/>
    </row>
    <row r="956" spans="1:8" ht="15.75" customHeight="1" x14ac:dyDescent="0.25">
      <c r="A956" s="212" t="s">
        <v>1847</v>
      </c>
      <c r="B956" s="207" t="s">
        <v>1848</v>
      </c>
      <c r="C956" s="208"/>
      <c r="D956" s="209">
        <v>7.25</v>
      </c>
      <c r="E956" s="208"/>
      <c r="F956" s="209">
        <f t="shared" si="15"/>
        <v>0</v>
      </c>
      <c r="G956" s="208"/>
      <c r="H956" s="208"/>
    </row>
    <row r="957" spans="1:8" ht="15.75" customHeight="1" x14ac:dyDescent="0.25">
      <c r="A957" s="212" t="s">
        <v>1849</v>
      </c>
      <c r="B957" s="207" t="s">
        <v>1850</v>
      </c>
      <c r="C957" s="208">
        <v>4.2</v>
      </c>
      <c r="D957" s="209">
        <v>93</v>
      </c>
      <c r="E957" s="208"/>
      <c r="F957" s="209">
        <f t="shared" si="15"/>
        <v>0</v>
      </c>
      <c r="G957" s="211" t="s">
        <v>809</v>
      </c>
      <c r="H957" s="208"/>
    </row>
    <row r="958" spans="1:8" ht="15.75" customHeight="1" x14ac:dyDescent="0.25">
      <c r="A958" s="212" t="s">
        <v>1851</v>
      </c>
      <c r="B958" s="207" t="s">
        <v>1850</v>
      </c>
      <c r="C958" s="207" t="s">
        <v>1852</v>
      </c>
      <c r="D958" s="209">
        <v>99</v>
      </c>
      <c r="E958" s="208">
        <v>1</v>
      </c>
      <c r="F958" s="209">
        <f t="shared" si="15"/>
        <v>99</v>
      </c>
      <c r="G958" s="207" t="s">
        <v>778</v>
      </c>
      <c r="H958" s="208"/>
    </row>
    <row r="959" spans="1:8" ht="15.75" customHeight="1" x14ac:dyDescent="0.25">
      <c r="A959" s="212" t="s">
        <v>1853</v>
      </c>
      <c r="B959" s="207" t="s">
        <v>1850</v>
      </c>
      <c r="C959" s="207" t="s">
        <v>1854</v>
      </c>
      <c r="D959" s="209">
        <v>120</v>
      </c>
      <c r="E959" s="208">
        <v>2</v>
      </c>
      <c r="F959" s="209">
        <f t="shared" si="15"/>
        <v>240</v>
      </c>
      <c r="G959" s="208"/>
      <c r="H959" s="208"/>
    </row>
    <row r="960" spans="1:8" ht="15.75" customHeight="1" x14ac:dyDescent="0.25">
      <c r="A960" s="212" t="s">
        <v>1855</v>
      </c>
      <c r="B960" s="207" t="s">
        <v>1850</v>
      </c>
      <c r="C960" s="207" t="s">
        <v>1856</v>
      </c>
      <c r="D960" s="209">
        <v>182</v>
      </c>
      <c r="E960" s="208">
        <v>1.1000000000000001</v>
      </c>
      <c r="F960" s="209">
        <f t="shared" si="15"/>
        <v>200.20000000000002</v>
      </c>
      <c r="G960" s="211" t="s">
        <v>767</v>
      </c>
      <c r="H960" s="208"/>
    </row>
    <row r="961" spans="1:8" ht="15.75" customHeight="1" x14ac:dyDescent="0.25">
      <c r="A961" s="212" t="s">
        <v>1857</v>
      </c>
      <c r="B961" s="207" t="s">
        <v>1850</v>
      </c>
      <c r="C961" s="207" t="s">
        <v>1858</v>
      </c>
      <c r="D961" s="209">
        <v>472.5</v>
      </c>
      <c r="E961" s="208">
        <v>1</v>
      </c>
      <c r="F961" s="209">
        <f t="shared" si="15"/>
        <v>472.5</v>
      </c>
      <c r="G961" s="211"/>
      <c r="H961" s="208"/>
    </row>
    <row r="962" spans="1:8" ht="15.75" customHeight="1" x14ac:dyDescent="0.25">
      <c r="A962" s="212" t="s">
        <v>1859</v>
      </c>
      <c r="B962" s="207" t="s">
        <v>1850</v>
      </c>
      <c r="C962" s="207" t="s">
        <v>1860</v>
      </c>
      <c r="D962" s="209">
        <v>44</v>
      </c>
      <c r="E962" s="208"/>
      <c r="F962" s="209">
        <f t="shared" si="15"/>
        <v>0</v>
      </c>
      <c r="G962" s="207" t="s">
        <v>778</v>
      </c>
      <c r="H962" s="208"/>
    </row>
    <row r="963" spans="1:8" ht="15.75" customHeight="1" x14ac:dyDescent="0.25">
      <c r="A963" s="212" t="s">
        <v>1861</v>
      </c>
      <c r="B963" s="207" t="s">
        <v>1862</v>
      </c>
      <c r="C963" s="207" t="s">
        <v>1863</v>
      </c>
      <c r="D963" s="209">
        <v>37.6</v>
      </c>
      <c r="E963" s="208">
        <v>5</v>
      </c>
      <c r="F963" s="209">
        <f t="shared" si="15"/>
        <v>188</v>
      </c>
      <c r="G963" s="211" t="s">
        <v>767</v>
      </c>
      <c r="H963" s="208"/>
    </row>
    <row r="964" spans="1:8" ht="15.75" customHeight="1" x14ac:dyDescent="0.25">
      <c r="A964" s="212"/>
      <c r="B964" s="207"/>
      <c r="C964" s="207"/>
      <c r="D964" s="209"/>
      <c r="E964" s="208"/>
      <c r="F964" s="209"/>
      <c r="G964" s="211"/>
      <c r="H964" s="208"/>
    </row>
    <row r="965" spans="1:8" ht="15.75" customHeight="1" x14ac:dyDescent="0.25">
      <c r="A965" s="212" t="s">
        <v>1864</v>
      </c>
      <c r="B965" s="207" t="s">
        <v>1862</v>
      </c>
      <c r="C965" s="208">
        <v>2.98</v>
      </c>
      <c r="D965" s="209">
        <v>19.850000000000001</v>
      </c>
      <c r="E965" s="210">
        <v>1</v>
      </c>
      <c r="F965" s="209">
        <f t="shared" si="15"/>
        <v>19.850000000000001</v>
      </c>
      <c r="G965" s="207" t="s">
        <v>778</v>
      </c>
      <c r="H965" s="208"/>
    </row>
    <row r="966" spans="1:8" ht="15.75" customHeight="1" x14ac:dyDescent="0.25">
      <c r="A966" s="212" t="s">
        <v>1865</v>
      </c>
      <c r="B966" s="207" t="s">
        <v>1862</v>
      </c>
      <c r="C966" s="208">
        <v>0.35</v>
      </c>
      <c r="D966" s="209">
        <v>12.96</v>
      </c>
      <c r="E966" s="210">
        <v>2.6</v>
      </c>
      <c r="F966" s="209">
        <f t="shared" si="15"/>
        <v>33.696000000000005</v>
      </c>
      <c r="G966" s="209"/>
      <c r="H966" s="208"/>
    </row>
    <row r="967" spans="1:8" ht="15.75" customHeight="1" x14ac:dyDescent="0.25">
      <c r="A967" s="212" t="s">
        <v>1866</v>
      </c>
      <c r="B967" s="207" t="s">
        <v>1862</v>
      </c>
      <c r="C967" s="207" t="s">
        <v>1867</v>
      </c>
      <c r="D967" s="209">
        <v>35.520000000000003</v>
      </c>
      <c r="E967" s="210">
        <v>2</v>
      </c>
      <c r="F967" s="209">
        <f t="shared" si="15"/>
        <v>71.040000000000006</v>
      </c>
      <c r="G967" s="211" t="s">
        <v>809</v>
      </c>
      <c r="H967" s="208"/>
    </row>
    <row r="968" spans="1:8" ht="15.75" customHeight="1" x14ac:dyDescent="0.25">
      <c r="A968" s="219"/>
      <c r="B968" s="208"/>
      <c r="C968" s="208"/>
      <c r="D968" s="209"/>
      <c r="E968" s="210"/>
      <c r="F968" s="209">
        <f t="shared" si="15"/>
        <v>0</v>
      </c>
      <c r="G968" s="209"/>
      <c r="H968" s="208"/>
    </row>
    <row r="969" spans="1:8" ht="15.75" customHeight="1" x14ac:dyDescent="0.25">
      <c r="A969" s="212" t="s">
        <v>1625</v>
      </c>
      <c r="B969" s="207" t="s">
        <v>1868</v>
      </c>
      <c r="C969" s="208">
        <v>1</v>
      </c>
      <c r="D969" s="209">
        <v>86.67</v>
      </c>
      <c r="E969" s="208">
        <v>1</v>
      </c>
      <c r="F969" s="209">
        <f t="shared" si="15"/>
        <v>86.67</v>
      </c>
      <c r="G969" s="209"/>
      <c r="H969" s="208"/>
    </row>
    <row r="970" spans="1:8" ht="15.75" customHeight="1" x14ac:dyDescent="0.25">
      <c r="A970" s="212" t="s">
        <v>1869</v>
      </c>
      <c r="B970" s="207" t="s">
        <v>1868</v>
      </c>
      <c r="C970" s="208">
        <v>0.5</v>
      </c>
      <c r="D970" s="209">
        <v>100</v>
      </c>
      <c r="E970" s="208"/>
      <c r="F970" s="209">
        <f t="shared" si="15"/>
        <v>0</v>
      </c>
      <c r="G970" s="209"/>
      <c r="H970" s="208"/>
    </row>
    <row r="971" spans="1:8" ht="15.75" customHeight="1" x14ac:dyDescent="0.25">
      <c r="A971" s="212" t="s">
        <v>1870</v>
      </c>
      <c r="B971" s="207" t="s">
        <v>1868</v>
      </c>
      <c r="C971" s="208"/>
      <c r="D971" s="209">
        <v>241.14</v>
      </c>
      <c r="E971" s="208">
        <v>0.25</v>
      </c>
      <c r="F971" s="209">
        <f t="shared" si="15"/>
        <v>60.284999999999997</v>
      </c>
      <c r="G971" s="209"/>
      <c r="H971" s="208"/>
    </row>
    <row r="972" spans="1:8" ht="15.75" customHeight="1" x14ac:dyDescent="0.25">
      <c r="A972" s="212" t="s">
        <v>1871</v>
      </c>
      <c r="B972" s="207" t="s">
        <v>1868</v>
      </c>
      <c r="C972" s="208"/>
      <c r="D972" s="209">
        <v>36.67</v>
      </c>
      <c r="E972" s="208">
        <v>2</v>
      </c>
      <c r="F972" s="209">
        <f t="shared" si="15"/>
        <v>73.34</v>
      </c>
      <c r="G972" s="208"/>
      <c r="H972" s="208"/>
    </row>
    <row r="973" spans="1:8" ht="15.75" customHeight="1" x14ac:dyDescent="0.25">
      <c r="A973" s="212" t="s">
        <v>1872</v>
      </c>
      <c r="B973" s="207" t="s">
        <v>1868</v>
      </c>
      <c r="C973" s="208"/>
      <c r="D973" s="209">
        <v>20</v>
      </c>
      <c r="E973" s="208">
        <v>1</v>
      </c>
      <c r="F973" s="209">
        <f t="shared" si="15"/>
        <v>20</v>
      </c>
      <c r="G973" s="209"/>
      <c r="H973" s="208"/>
    </row>
    <row r="974" spans="1:8" ht="15.75" customHeight="1" x14ac:dyDescent="0.25">
      <c r="A974" s="212" t="s">
        <v>1873</v>
      </c>
      <c r="B974" s="207" t="s">
        <v>1874</v>
      </c>
      <c r="C974" s="207" t="s">
        <v>1026</v>
      </c>
      <c r="D974" s="209">
        <v>13</v>
      </c>
      <c r="E974" s="208">
        <v>1</v>
      </c>
      <c r="F974" s="209">
        <f t="shared" si="15"/>
        <v>13</v>
      </c>
      <c r="G974" s="209" t="s">
        <v>767</v>
      </c>
      <c r="H974" s="208"/>
    </row>
    <row r="975" spans="1:8" ht="15.75" customHeight="1" x14ac:dyDescent="0.25">
      <c r="A975" s="212" t="s">
        <v>1875</v>
      </c>
      <c r="B975" s="208"/>
      <c r="C975" s="208"/>
      <c r="D975" s="209">
        <v>3</v>
      </c>
      <c r="E975" s="208">
        <v>0</v>
      </c>
      <c r="F975" s="209">
        <f t="shared" si="15"/>
        <v>0</v>
      </c>
      <c r="G975" s="209"/>
      <c r="H975" s="208"/>
    </row>
    <row r="976" spans="1:8" ht="15.75" customHeight="1" x14ac:dyDescent="0.25">
      <c r="A976" s="212" t="s">
        <v>1876</v>
      </c>
      <c r="B976" s="208"/>
      <c r="C976" s="208">
        <v>1</v>
      </c>
      <c r="D976" s="209">
        <v>47.3</v>
      </c>
      <c r="E976" s="208">
        <v>0.9</v>
      </c>
      <c r="F976" s="209">
        <f t="shared" si="15"/>
        <v>42.57</v>
      </c>
      <c r="G976" s="208"/>
      <c r="H976" s="208"/>
    </row>
    <row r="977" spans="1:8" ht="15.75" customHeight="1" x14ac:dyDescent="0.25">
      <c r="A977" s="212" t="s">
        <v>1877</v>
      </c>
      <c r="B977" s="208"/>
      <c r="C977" s="208">
        <v>1</v>
      </c>
      <c r="D977" s="209">
        <v>27.5</v>
      </c>
      <c r="E977" s="208">
        <v>0.8</v>
      </c>
      <c r="F977" s="209">
        <f t="shared" si="15"/>
        <v>22</v>
      </c>
      <c r="G977" s="208"/>
      <c r="H977" s="208"/>
    </row>
    <row r="978" spans="1:8" ht="15.75" customHeight="1" x14ac:dyDescent="0.25">
      <c r="A978" s="212" t="s">
        <v>1878</v>
      </c>
      <c r="B978" s="207" t="s">
        <v>941</v>
      </c>
      <c r="C978" s="208"/>
      <c r="D978" s="209">
        <v>25</v>
      </c>
      <c r="E978" s="208">
        <v>1</v>
      </c>
      <c r="F978" s="209">
        <f t="shared" si="15"/>
        <v>25</v>
      </c>
      <c r="G978" s="208"/>
      <c r="H978" s="208"/>
    </row>
    <row r="979" spans="1:8" ht="15.75" customHeight="1" x14ac:dyDescent="0.25">
      <c r="A979" s="212" t="s">
        <v>1879</v>
      </c>
      <c r="B979" s="208"/>
      <c r="C979" s="208"/>
      <c r="D979" s="209">
        <v>20</v>
      </c>
      <c r="E979" s="208">
        <v>3</v>
      </c>
      <c r="F979" s="209">
        <f t="shared" si="15"/>
        <v>60</v>
      </c>
      <c r="G979" s="208"/>
      <c r="H979" s="208"/>
    </row>
    <row r="980" spans="1:8" ht="15.75" customHeight="1" x14ac:dyDescent="0.25">
      <c r="A980" s="212" t="s">
        <v>1880</v>
      </c>
      <c r="B980" s="208"/>
      <c r="C980" s="214" t="s">
        <v>1343</v>
      </c>
      <c r="D980" s="209">
        <v>13</v>
      </c>
      <c r="E980" s="208">
        <v>5</v>
      </c>
      <c r="F980" s="209">
        <f t="shared" si="15"/>
        <v>65</v>
      </c>
      <c r="G980" s="208" t="s">
        <v>767</v>
      </c>
      <c r="H980" s="208"/>
    </row>
    <row r="981" spans="1:8" ht="15.75" customHeight="1" x14ac:dyDescent="0.25">
      <c r="A981" s="212" t="s">
        <v>1881</v>
      </c>
      <c r="B981" s="208"/>
      <c r="C981" s="208" t="s">
        <v>1882</v>
      </c>
      <c r="D981" s="209">
        <v>7.2</v>
      </c>
      <c r="E981" s="208"/>
      <c r="F981" s="209">
        <f t="shared" si="15"/>
        <v>0</v>
      </c>
      <c r="G981" s="208" t="s">
        <v>767</v>
      </c>
      <c r="H981" s="208"/>
    </row>
    <row r="982" spans="1:8" ht="15.75" customHeight="1" x14ac:dyDescent="0.25">
      <c r="A982" s="212"/>
      <c r="B982" s="208"/>
      <c r="C982" s="208"/>
      <c r="D982" s="209"/>
      <c r="E982" s="208"/>
      <c r="F982" s="209">
        <f t="shared" si="15"/>
        <v>0</v>
      </c>
      <c r="G982" s="208"/>
      <c r="H982" s="208"/>
    </row>
    <row r="983" spans="1:8" ht="15.75" customHeight="1" x14ac:dyDescent="0.25">
      <c r="A983" s="212"/>
      <c r="B983" s="208"/>
      <c r="C983" s="208"/>
      <c r="D983" s="209"/>
      <c r="E983" s="208"/>
      <c r="F983" s="209">
        <f t="shared" si="15"/>
        <v>0</v>
      </c>
      <c r="G983" s="208"/>
      <c r="H983" s="208"/>
    </row>
    <row r="984" spans="1:8" ht="15.75" customHeight="1" x14ac:dyDescent="0.25">
      <c r="A984" s="212" t="s">
        <v>1883</v>
      </c>
      <c r="B984" s="207" t="s">
        <v>1884</v>
      </c>
      <c r="C984" s="208"/>
      <c r="D984" s="209">
        <v>3.2</v>
      </c>
      <c r="E984" s="208">
        <v>14</v>
      </c>
      <c r="F984" s="209">
        <f t="shared" si="15"/>
        <v>44.800000000000004</v>
      </c>
      <c r="G984" s="211" t="s">
        <v>767</v>
      </c>
      <c r="H984" s="208"/>
    </row>
    <row r="985" spans="1:8" ht="15.75" customHeight="1" x14ac:dyDescent="0.25">
      <c r="A985" s="212" t="s">
        <v>1885</v>
      </c>
      <c r="B985" s="207" t="s">
        <v>1884</v>
      </c>
      <c r="C985" s="208"/>
      <c r="D985" s="209">
        <v>3.2</v>
      </c>
      <c r="E985" s="208"/>
      <c r="F985" s="209">
        <f t="shared" si="15"/>
        <v>0</v>
      </c>
      <c r="G985" s="208"/>
      <c r="H985" s="208"/>
    </row>
    <row r="986" spans="1:8" ht="15.75" customHeight="1" x14ac:dyDescent="0.25">
      <c r="A986" s="212" t="s">
        <v>1886</v>
      </c>
      <c r="B986" s="207" t="s">
        <v>1884</v>
      </c>
      <c r="C986" s="208"/>
      <c r="D986" s="209">
        <v>6.6</v>
      </c>
      <c r="E986" s="208"/>
      <c r="F986" s="209">
        <f t="shared" si="15"/>
        <v>0</v>
      </c>
      <c r="G986" s="208"/>
      <c r="H986" s="208"/>
    </row>
    <row r="987" spans="1:8" ht="15.75" customHeight="1" x14ac:dyDescent="0.25">
      <c r="A987" s="212" t="s">
        <v>1887</v>
      </c>
      <c r="B987" s="207" t="s">
        <v>1884</v>
      </c>
      <c r="C987" s="208">
        <v>0.5</v>
      </c>
      <c r="D987" s="209">
        <v>6.9</v>
      </c>
      <c r="E987" s="208"/>
      <c r="F987" s="209">
        <f t="shared" si="15"/>
        <v>0</v>
      </c>
      <c r="G987" s="208"/>
      <c r="H987" s="208"/>
    </row>
    <row r="988" spans="1:8" ht="15.75" customHeight="1" x14ac:dyDescent="0.25">
      <c r="A988" s="212" t="s">
        <v>1888</v>
      </c>
      <c r="B988" s="207" t="s">
        <v>1884</v>
      </c>
      <c r="C988" s="208">
        <v>6</v>
      </c>
      <c r="D988" s="209">
        <v>49</v>
      </c>
      <c r="E988" s="208"/>
      <c r="F988" s="209">
        <f t="shared" si="15"/>
        <v>0</v>
      </c>
      <c r="G988" s="209"/>
      <c r="H988" s="208"/>
    </row>
    <row r="989" spans="1:8" ht="15.75" customHeight="1" x14ac:dyDescent="0.25">
      <c r="A989" s="212" t="s">
        <v>1889</v>
      </c>
      <c r="B989" s="207" t="s">
        <v>1884</v>
      </c>
      <c r="C989" s="208">
        <v>0.5</v>
      </c>
      <c r="D989" s="209">
        <v>7.7</v>
      </c>
      <c r="E989" s="208"/>
      <c r="F989" s="209">
        <f t="shared" si="15"/>
        <v>0</v>
      </c>
      <c r="G989" s="213" t="s">
        <v>809</v>
      </c>
      <c r="H989" s="208"/>
    </row>
    <row r="990" spans="1:8" ht="15.75" customHeight="1" x14ac:dyDescent="0.25">
      <c r="A990" s="212" t="s">
        <v>1890</v>
      </c>
      <c r="B990" s="207" t="s">
        <v>1884</v>
      </c>
      <c r="C990" s="208"/>
      <c r="D990" s="209">
        <v>11</v>
      </c>
      <c r="E990" s="208"/>
      <c r="F990" s="209">
        <f t="shared" si="15"/>
        <v>0</v>
      </c>
      <c r="G990" s="209"/>
      <c r="H990" s="208"/>
    </row>
    <row r="991" spans="1:8" ht="15.75" customHeight="1" x14ac:dyDescent="0.25">
      <c r="A991" s="212" t="s">
        <v>1891</v>
      </c>
      <c r="B991" s="208"/>
      <c r="C991" s="208"/>
      <c r="D991" s="209">
        <v>8.1999999999999993</v>
      </c>
      <c r="E991" s="208"/>
      <c r="F991" s="209">
        <f t="shared" si="15"/>
        <v>0</v>
      </c>
      <c r="G991" s="209"/>
      <c r="H991" s="208"/>
    </row>
    <row r="992" spans="1:8" ht="15.75" customHeight="1" x14ac:dyDescent="0.25">
      <c r="A992" s="212" t="s">
        <v>1892</v>
      </c>
      <c r="B992" s="208"/>
      <c r="C992" s="208"/>
      <c r="D992" s="209">
        <v>59.9</v>
      </c>
      <c r="E992" s="208"/>
      <c r="F992" s="209">
        <f t="shared" ref="F992:F1056" si="16">D992:D992*E992:E992</f>
        <v>0</v>
      </c>
      <c r="G992" s="209"/>
      <c r="H992" s="208"/>
    </row>
    <row r="993" spans="1:8" ht="15.75" customHeight="1" x14ac:dyDescent="0.25">
      <c r="A993" s="212" t="s">
        <v>1893</v>
      </c>
      <c r="B993" s="207" t="s">
        <v>1884</v>
      </c>
      <c r="C993" s="208"/>
      <c r="D993" s="209">
        <v>5.95</v>
      </c>
      <c r="E993" s="208">
        <v>0</v>
      </c>
      <c r="F993" s="209">
        <f t="shared" si="16"/>
        <v>0</v>
      </c>
      <c r="G993" s="209"/>
      <c r="H993" s="208"/>
    </row>
    <row r="994" spans="1:8" ht="15.75" customHeight="1" x14ac:dyDescent="0.25">
      <c r="A994" s="212" t="s">
        <v>1894</v>
      </c>
      <c r="B994" s="207" t="s">
        <v>1884</v>
      </c>
      <c r="C994" s="208">
        <v>0.5</v>
      </c>
      <c r="D994" s="209">
        <v>5.95</v>
      </c>
      <c r="E994" s="208">
        <v>12</v>
      </c>
      <c r="F994" s="209">
        <f t="shared" si="16"/>
        <v>71.400000000000006</v>
      </c>
      <c r="G994" s="208"/>
      <c r="H994" s="208"/>
    </row>
    <row r="995" spans="1:8" ht="15.75" customHeight="1" x14ac:dyDescent="0.25">
      <c r="A995" s="212" t="s">
        <v>1895</v>
      </c>
      <c r="B995" s="207" t="s">
        <v>1884</v>
      </c>
      <c r="C995" s="208"/>
      <c r="D995" s="209">
        <v>6.7</v>
      </c>
      <c r="E995" s="208">
        <v>18</v>
      </c>
      <c r="F995" s="209">
        <f t="shared" si="16"/>
        <v>120.60000000000001</v>
      </c>
      <c r="G995" s="214" t="s">
        <v>1896</v>
      </c>
      <c r="H995" s="208"/>
    </row>
    <row r="996" spans="1:8" ht="15.75" customHeight="1" x14ac:dyDescent="0.25">
      <c r="A996" s="212" t="s">
        <v>1897</v>
      </c>
      <c r="B996" s="207" t="s">
        <v>1884</v>
      </c>
      <c r="C996" s="208">
        <v>0.5</v>
      </c>
      <c r="D996" s="209">
        <v>40</v>
      </c>
      <c r="E996" s="208">
        <v>1</v>
      </c>
      <c r="F996" s="209">
        <f t="shared" si="16"/>
        <v>40</v>
      </c>
      <c r="G996" s="207" t="s">
        <v>778</v>
      </c>
      <c r="H996" s="208"/>
    </row>
    <row r="997" spans="1:8" ht="15.75" customHeight="1" x14ac:dyDescent="0.25">
      <c r="A997" s="212" t="s">
        <v>1898</v>
      </c>
      <c r="B997" s="207" t="s">
        <v>1884</v>
      </c>
      <c r="C997" s="208"/>
      <c r="D997" s="209">
        <v>17.89</v>
      </c>
      <c r="E997" s="210"/>
      <c r="F997" s="209">
        <f t="shared" si="16"/>
        <v>0</v>
      </c>
      <c r="G997" s="208"/>
      <c r="H997" s="208"/>
    </row>
    <row r="998" spans="1:8" ht="15.75" customHeight="1" x14ac:dyDescent="0.25">
      <c r="A998" s="212" t="s">
        <v>1899</v>
      </c>
      <c r="B998" s="207" t="s">
        <v>1884</v>
      </c>
      <c r="C998" s="208"/>
      <c r="D998" s="209">
        <v>17.440000000000001</v>
      </c>
      <c r="E998" s="208">
        <v>2</v>
      </c>
      <c r="F998" s="209">
        <f t="shared" si="16"/>
        <v>34.880000000000003</v>
      </c>
      <c r="G998" s="211"/>
      <c r="H998" s="208"/>
    </row>
    <row r="999" spans="1:8" ht="15.75" customHeight="1" x14ac:dyDescent="0.25">
      <c r="A999" s="212" t="s">
        <v>1900</v>
      </c>
      <c r="B999" s="207" t="s">
        <v>1884</v>
      </c>
      <c r="C999" s="208"/>
      <c r="D999" s="209">
        <v>14.97</v>
      </c>
      <c r="E999" s="208">
        <v>3</v>
      </c>
      <c r="F999" s="209">
        <f t="shared" si="16"/>
        <v>44.910000000000004</v>
      </c>
      <c r="G999" s="208"/>
      <c r="H999" s="208"/>
    </row>
    <row r="1000" spans="1:8" ht="15.75" customHeight="1" x14ac:dyDescent="0.25">
      <c r="A1000" s="212" t="s">
        <v>1901</v>
      </c>
      <c r="B1000" s="207" t="s">
        <v>1884</v>
      </c>
      <c r="C1000" s="208">
        <v>1.1000000000000001</v>
      </c>
      <c r="D1000" s="209">
        <v>136.62</v>
      </c>
      <c r="E1000" s="208">
        <v>1.75</v>
      </c>
      <c r="F1000" s="209">
        <f t="shared" si="16"/>
        <v>239.08500000000001</v>
      </c>
      <c r="G1000" s="207" t="s">
        <v>778</v>
      </c>
      <c r="H1000" s="208"/>
    </row>
    <row r="1001" spans="1:8" ht="15.75" customHeight="1" x14ac:dyDescent="0.25">
      <c r="A1001" s="212" t="s">
        <v>1902</v>
      </c>
      <c r="B1001" s="207" t="s">
        <v>1884</v>
      </c>
      <c r="C1001" s="208">
        <v>0.5</v>
      </c>
      <c r="D1001" s="209">
        <v>45.5</v>
      </c>
      <c r="E1001" s="208">
        <v>4</v>
      </c>
      <c r="F1001" s="209">
        <f t="shared" si="16"/>
        <v>182</v>
      </c>
      <c r="G1001" s="211" t="s">
        <v>767</v>
      </c>
      <c r="H1001" s="208"/>
    </row>
    <row r="1002" spans="1:8" ht="15.75" customHeight="1" x14ac:dyDescent="0.25">
      <c r="A1002" s="212" t="s">
        <v>1903</v>
      </c>
      <c r="B1002" s="207" t="s">
        <v>1884</v>
      </c>
      <c r="C1002" s="208">
        <v>12</v>
      </c>
      <c r="D1002" s="209">
        <v>35.799999999999997</v>
      </c>
      <c r="E1002" s="208">
        <v>0</v>
      </c>
      <c r="F1002" s="209">
        <f t="shared" si="16"/>
        <v>0</v>
      </c>
      <c r="G1002" s="207" t="s">
        <v>778</v>
      </c>
      <c r="H1002" s="208"/>
    </row>
    <row r="1003" spans="1:8" ht="15.75" customHeight="1" x14ac:dyDescent="0.25">
      <c r="A1003" s="212" t="s">
        <v>1904</v>
      </c>
      <c r="B1003" s="207" t="s">
        <v>1884</v>
      </c>
      <c r="C1003" s="208">
        <v>12</v>
      </c>
      <c r="D1003" s="209">
        <v>34.9</v>
      </c>
      <c r="E1003" s="208">
        <v>2</v>
      </c>
      <c r="F1003" s="209">
        <f t="shared" si="16"/>
        <v>69.8</v>
      </c>
      <c r="G1003" s="211" t="s">
        <v>767</v>
      </c>
      <c r="H1003" s="208"/>
    </row>
    <row r="1004" spans="1:8" ht="15.75" customHeight="1" x14ac:dyDescent="0.25">
      <c r="A1004" s="212" t="s">
        <v>1905</v>
      </c>
      <c r="B1004" s="207" t="s">
        <v>1884</v>
      </c>
      <c r="C1004" s="208"/>
      <c r="D1004" s="209">
        <v>25.65</v>
      </c>
      <c r="E1004" s="208">
        <v>2</v>
      </c>
      <c r="F1004" s="209">
        <f t="shared" si="16"/>
        <v>51.3</v>
      </c>
      <c r="G1004" s="208" t="s">
        <v>778</v>
      </c>
      <c r="H1004" s="208"/>
    </row>
    <row r="1005" spans="1:8" ht="15.75" customHeight="1" x14ac:dyDescent="0.25">
      <c r="A1005" s="212" t="s">
        <v>1906</v>
      </c>
      <c r="B1005" s="207" t="s">
        <v>1884</v>
      </c>
      <c r="C1005" s="207" t="s">
        <v>896</v>
      </c>
      <c r="D1005" s="209">
        <v>6.25</v>
      </c>
      <c r="E1005" s="208"/>
      <c r="F1005" s="209">
        <f t="shared" si="16"/>
        <v>0</v>
      </c>
      <c r="G1005" s="211" t="s">
        <v>778</v>
      </c>
      <c r="H1005" s="208"/>
    </row>
    <row r="1006" spans="1:8" ht="15.75" customHeight="1" x14ac:dyDescent="0.25">
      <c r="A1006" s="212" t="s">
        <v>1907</v>
      </c>
      <c r="B1006" s="207" t="s">
        <v>1884</v>
      </c>
      <c r="C1006" s="208"/>
      <c r="D1006" s="209">
        <v>6.7</v>
      </c>
      <c r="E1006" s="208"/>
      <c r="F1006" s="209">
        <f t="shared" si="16"/>
        <v>0</v>
      </c>
      <c r="G1006" s="207" t="s">
        <v>778</v>
      </c>
      <c r="H1006" s="208"/>
    </row>
    <row r="1007" spans="1:8" ht="15.75" customHeight="1" x14ac:dyDescent="0.25">
      <c r="A1007" s="212" t="s">
        <v>1908</v>
      </c>
      <c r="B1007" s="207" t="s">
        <v>1884</v>
      </c>
      <c r="C1007" s="207" t="s">
        <v>724</v>
      </c>
      <c r="D1007" s="209">
        <v>48</v>
      </c>
      <c r="E1007" s="208">
        <v>1</v>
      </c>
      <c r="F1007" s="209">
        <f t="shared" si="16"/>
        <v>48</v>
      </c>
      <c r="G1007" s="211" t="s">
        <v>900</v>
      </c>
      <c r="H1007" s="208"/>
    </row>
    <row r="1008" spans="1:8" ht="15.75" customHeight="1" x14ac:dyDescent="0.25">
      <c r="A1008" s="212" t="s">
        <v>1909</v>
      </c>
      <c r="B1008" s="207" t="s">
        <v>1884</v>
      </c>
      <c r="C1008" s="208">
        <v>0.72</v>
      </c>
      <c r="D1008" s="209">
        <v>37.630000000000003</v>
      </c>
      <c r="E1008" s="208">
        <v>0.1</v>
      </c>
      <c r="F1008" s="209">
        <f t="shared" si="16"/>
        <v>3.7630000000000003</v>
      </c>
      <c r="G1008" s="211" t="s">
        <v>900</v>
      </c>
      <c r="H1008" s="208"/>
    </row>
    <row r="1009" spans="1:10" ht="15.75" customHeight="1" x14ac:dyDescent="0.25">
      <c r="A1009" s="212" t="s">
        <v>1910</v>
      </c>
      <c r="B1009" s="207" t="s">
        <v>1884</v>
      </c>
      <c r="C1009" s="208"/>
      <c r="D1009" s="209">
        <v>69.88</v>
      </c>
      <c r="E1009" s="208"/>
      <c r="F1009" s="209">
        <f t="shared" si="16"/>
        <v>0</v>
      </c>
      <c r="G1009" s="209"/>
      <c r="H1009" s="208"/>
    </row>
    <row r="1010" spans="1:10" ht="15.75" customHeight="1" x14ac:dyDescent="0.25">
      <c r="A1010" s="212" t="s">
        <v>1911</v>
      </c>
      <c r="B1010" s="207" t="s">
        <v>1884</v>
      </c>
      <c r="C1010" s="208"/>
      <c r="D1010" s="209">
        <v>32.630000000000003</v>
      </c>
      <c r="E1010" s="208"/>
      <c r="F1010" s="209">
        <f t="shared" si="16"/>
        <v>0</v>
      </c>
      <c r="G1010" s="208"/>
      <c r="H1010" s="208"/>
    </row>
    <row r="1011" spans="1:10" ht="15.75" customHeight="1" x14ac:dyDescent="0.25">
      <c r="A1011" s="212" t="s">
        <v>1912</v>
      </c>
      <c r="B1011" s="207" t="s">
        <v>1884</v>
      </c>
      <c r="C1011" s="208"/>
      <c r="D1011" s="209">
        <v>32.630000000000003</v>
      </c>
      <c r="E1011" s="208">
        <v>1</v>
      </c>
      <c r="F1011" s="209">
        <f t="shared" si="16"/>
        <v>32.630000000000003</v>
      </c>
      <c r="G1011" s="208"/>
      <c r="H1011" s="208"/>
    </row>
    <row r="1012" spans="1:10" ht="15.75" customHeight="1" x14ac:dyDescent="0.25">
      <c r="A1012" s="212" t="s">
        <v>1913</v>
      </c>
      <c r="B1012" s="207" t="s">
        <v>1914</v>
      </c>
      <c r="C1012" s="207" t="s">
        <v>1915</v>
      </c>
      <c r="D1012" s="209">
        <v>7.8</v>
      </c>
      <c r="E1012" s="208"/>
      <c r="F1012" s="209">
        <f t="shared" si="16"/>
        <v>0</v>
      </c>
      <c r="G1012" s="208"/>
      <c r="H1012" s="208"/>
    </row>
    <row r="1013" spans="1:10" ht="15.75" customHeight="1" x14ac:dyDescent="0.25">
      <c r="A1013" s="212" t="s">
        <v>1916</v>
      </c>
      <c r="B1013" s="207" t="s">
        <v>1914</v>
      </c>
      <c r="C1013" s="208"/>
      <c r="D1013" s="209">
        <v>39</v>
      </c>
      <c r="E1013" s="208">
        <v>0.9</v>
      </c>
      <c r="F1013" s="209">
        <f t="shared" si="16"/>
        <v>35.1</v>
      </c>
      <c r="G1013" s="208"/>
      <c r="H1013" s="208"/>
    </row>
    <row r="1014" spans="1:10" ht="15.75" customHeight="1" x14ac:dyDescent="0.25">
      <c r="A1014" s="212" t="s">
        <v>1917</v>
      </c>
      <c r="B1014" s="207" t="s">
        <v>1914</v>
      </c>
      <c r="C1014" s="208"/>
      <c r="D1014" s="209">
        <v>28.4</v>
      </c>
      <c r="E1014" s="208">
        <v>0.2</v>
      </c>
      <c r="F1014" s="209">
        <f t="shared" si="16"/>
        <v>5.68</v>
      </c>
      <c r="G1014" s="207"/>
      <c r="H1014" s="208"/>
    </row>
    <row r="1015" spans="1:10" ht="15.75" customHeight="1" x14ac:dyDescent="0.25">
      <c r="A1015" s="212" t="s">
        <v>1918</v>
      </c>
      <c r="B1015" s="207" t="s">
        <v>1919</v>
      </c>
      <c r="C1015" s="208"/>
      <c r="D1015" s="209">
        <v>45</v>
      </c>
      <c r="E1015" s="208">
        <v>0.2</v>
      </c>
      <c r="F1015" s="209">
        <f t="shared" si="16"/>
        <v>9</v>
      </c>
      <c r="G1015" s="208"/>
      <c r="H1015" s="208"/>
    </row>
    <row r="1016" spans="1:10" ht="15.75" customHeight="1" x14ac:dyDescent="0.25">
      <c r="A1016" s="212" t="s">
        <v>1920</v>
      </c>
      <c r="B1016" s="207" t="s">
        <v>1919</v>
      </c>
      <c r="C1016" s="208"/>
      <c r="D1016" s="209">
        <v>60</v>
      </c>
      <c r="E1016" s="208">
        <v>1</v>
      </c>
      <c r="F1016" s="209">
        <f t="shared" si="16"/>
        <v>60</v>
      </c>
      <c r="G1016" s="211" t="s">
        <v>767</v>
      </c>
      <c r="H1016" s="208"/>
      <c r="J1016" s="203">
        <v>1.55</v>
      </c>
    </row>
    <row r="1017" spans="1:10" ht="15.75" customHeight="1" x14ac:dyDescent="0.25">
      <c r="A1017" s="212" t="s">
        <v>1921</v>
      </c>
      <c r="B1017" s="207" t="s">
        <v>1919</v>
      </c>
      <c r="C1017" s="208">
        <v>1</v>
      </c>
      <c r="D1017" s="209">
        <v>60</v>
      </c>
      <c r="E1017" s="208">
        <v>0.1</v>
      </c>
      <c r="F1017" s="209">
        <f t="shared" si="16"/>
        <v>6</v>
      </c>
      <c r="G1017" s="208"/>
      <c r="H1017" s="208"/>
    </row>
    <row r="1018" spans="1:10" ht="15.75" customHeight="1" x14ac:dyDescent="0.25">
      <c r="A1018" s="212" t="s">
        <v>1922</v>
      </c>
      <c r="B1018" s="207" t="s">
        <v>1919</v>
      </c>
      <c r="C1018" s="208">
        <v>1</v>
      </c>
      <c r="D1018" s="209">
        <v>60</v>
      </c>
      <c r="E1018" s="208">
        <v>0</v>
      </c>
      <c r="F1018" s="209">
        <f t="shared" si="16"/>
        <v>0</v>
      </c>
      <c r="G1018" s="208"/>
      <c r="H1018" s="208"/>
    </row>
    <row r="1019" spans="1:10" ht="15.75" customHeight="1" x14ac:dyDescent="0.25">
      <c r="A1019" s="212" t="s">
        <v>1923</v>
      </c>
      <c r="B1019" s="207" t="s">
        <v>1919</v>
      </c>
      <c r="C1019" s="208">
        <v>1</v>
      </c>
      <c r="D1019" s="209">
        <v>95</v>
      </c>
      <c r="E1019" s="208"/>
      <c r="F1019" s="209">
        <f t="shared" si="16"/>
        <v>0</v>
      </c>
      <c r="G1019" s="208"/>
      <c r="H1019" s="208"/>
    </row>
    <row r="1020" spans="1:10" ht="15.75" customHeight="1" x14ac:dyDescent="0.25">
      <c r="A1020" s="212" t="s">
        <v>1924</v>
      </c>
      <c r="B1020" s="207" t="s">
        <v>1919</v>
      </c>
      <c r="C1020" s="208"/>
      <c r="D1020" s="209">
        <v>34.950000000000003</v>
      </c>
      <c r="E1020" s="208">
        <v>0</v>
      </c>
      <c r="F1020" s="209">
        <f t="shared" si="16"/>
        <v>0</v>
      </c>
      <c r="G1020" s="208"/>
      <c r="H1020" s="208"/>
    </row>
    <row r="1021" spans="1:10" ht="15.75" customHeight="1" x14ac:dyDescent="0.25">
      <c r="A1021" s="212" t="s">
        <v>1925</v>
      </c>
      <c r="B1021" s="207" t="s">
        <v>1919</v>
      </c>
      <c r="C1021" s="208"/>
      <c r="D1021" s="209">
        <v>27</v>
      </c>
      <c r="E1021" s="208"/>
      <c r="F1021" s="209">
        <f t="shared" si="16"/>
        <v>0</v>
      </c>
      <c r="G1021" s="208"/>
      <c r="H1021" s="208"/>
    </row>
    <row r="1022" spans="1:10" ht="15.75" customHeight="1" x14ac:dyDescent="0.25">
      <c r="A1022" s="212" t="s">
        <v>1926</v>
      </c>
      <c r="B1022" s="207" t="s">
        <v>1919</v>
      </c>
      <c r="C1022" s="208"/>
      <c r="D1022" s="209">
        <v>28.15</v>
      </c>
      <c r="E1022" s="208">
        <v>0.6</v>
      </c>
      <c r="F1022" s="209">
        <f t="shared" si="16"/>
        <v>16.889999999999997</v>
      </c>
      <c r="G1022" s="208"/>
      <c r="H1022" s="208"/>
    </row>
    <row r="1023" spans="1:10" ht="13.5" customHeight="1" x14ac:dyDescent="0.25">
      <c r="A1023" s="212" t="s">
        <v>1927</v>
      </c>
      <c r="B1023" s="207" t="s">
        <v>1919</v>
      </c>
      <c r="C1023" s="208"/>
      <c r="D1023" s="209">
        <v>50</v>
      </c>
      <c r="E1023" s="208">
        <v>1</v>
      </c>
      <c r="F1023" s="209">
        <f t="shared" si="16"/>
        <v>50</v>
      </c>
      <c r="G1023" s="208"/>
      <c r="H1023" s="208"/>
    </row>
    <row r="1024" spans="1:10" ht="13.5" customHeight="1" x14ac:dyDescent="0.25">
      <c r="A1024" s="212" t="s">
        <v>1928</v>
      </c>
      <c r="B1024" s="207" t="s">
        <v>1929</v>
      </c>
      <c r="C1024" s="208"/>
      <c r="D1024" s="209">
        <v>114</v>
      </c>
      <c r="E1024" s="208">
        <v>0.75</v>
      </c>
      <c r="F1024" s="209">
        <f t="shared" si="16"/>
        <v>85.5</v>
      </c>
      <c r="G1024" s="208"/>
      <c r="H1024" s="208"/>
    </row>
    <row r="1025" spans="1:8" ht="16.5" customHeight="1" x14ac:dyDescent="0.25">
      <c r="A1025" s="207" t="s">
        <v>1930</v>
      </c>
      <c r="B1025" s="207" t="s">
        <v>1919</v>
      </c>
      <c r="C1025" s="208"/>
      <c r="D1025" s="209">
        <v>39</v>
      </c>
      <c r="E1025" s="208">
        <v>1</v>
      </c>
      <c r="F1025" s="209">
        <f t="shared" si="16"/>
        <v>39</v>
      </c>
      <c r="G1025" s="208"/>
      <c r="H1025" s="208"/>
    </row>
    <row r="1026" spans="1:8" ht="15.75" customHeight="1" x14ac:dyDescent="0.25">
      <c r="A1026" s="207" t="s">
        <v>1931</v>
      </c>
      <c r="B1026" s="207" t="s">
        <v>1919</v>
      </c>
      <c r="C1026" s="208"/>
      <c r="D1026" s="209"/>
      <c r="E1026" s="208"/>
      <c r="F1026" s="209">
        <f t="shared" si="16"/>
        <v>0</v>
      </c>
      <c r="G1026" s="208"/>
      <c r="H1026" s="208"/>
    </row>
    <row r="1027" spans="1:8" ht="15.75" customHeight="1" x14ac:dyDescent="0.25">
      <c r="A1027" s="212" t="s">
        <v>1932</v>
      </c>
      <c r="B1027" s="207" t="s">
        <v>1919</v>
      </c>
      <c r="C1027" s="208"/>
      <c r="D1027" s="209">
        <v>25.5</v>
      </c>
      <c r="E1027" s="208">
        <v>0</v>
      </c>
      <c r="F1027" s="209">
        <f t="shared" si="16"/>
        <v>0</v>
      </c>
      <c r="G1027" s="208"/>
      <c r="H1027" s="208"/>
    </row>
    <row r="1028" spans="1:8" ht="15.75" customHeight="1" x14ac:dyDescent="0.25">
      <c r="A1028" s="212" t="s">
        <v>1933</v>
      </c>
      <c r="B1028" s="207" t="s">
        <v>1919</v>
      </c>
      <c r="C1028" s="208">
        <v>0.15</v>
      </c>
      <c r="D1028" s="209">
        <v>32</v>
      </c>
      <c r="E1028" s="208">
        <v>1</v>
      </c>
      <c r="F1028" s="209">
        <f t="shared" si="16"/>
        <v>32</v>
      </c>
      <c r="G1028" s="208"/>
      <c r="H1028" s="208"/>
    </row>
    <row r="1029" spans="1:8" ht="15.75" customHeight="1" x14ac:dyDescent="0.25">
      <c r="A1029" s="212" t="s">
        <v>1934</v>
      </c>
      <c r="B1029" s="207" t="s">
        <v>1919</v>
      </c>
      <c r="C1029" s="208"/>
      <c r="D1029" s="209">
        <v>21.5</v>
      </c>
      <c r="E1029" s="208">
        <v>1</v>
      </c>
      <c r="F1029" s="209">
        <f t="shared" si="16"/>
        <v>21.5</v>
      </c>
      <c r="G1029" s="208"/>
      <c r="H1029" s="208"/>
    </row>
    <row r="1030" spans="1:8" ht="15.75" customHeight="1" x14ac:dyDescent="0.25">
      <c r="A1030" s="212" t="s">
        <v>1935</v>
      </c>
      <c r="B1030" s="207" t="s">
        <v>1919</v>
      </c>
      <c r="C1030" s="208"/>
      <c r="D1030" s="209">
        <v>15.6</v>
      </c>
      <c r="E1030" s="208"/>
      <c r="F1030" s="209">
        <f t="shared" si="16"/>
        <v>0</v>
      </c>
      <c r="G1030" s="208"/>
      <c r="H1030" s="208"/>
    </row>
    <row r="1031" spans="1:8" ht="15.75" customHeight="1" x14ac:dyDescent="0.25">
      <c r="A1031" s="212" t="s">
        <v>1936</v>
      </c>
      <c r="B1031" s="207" t="s">
        <v>1919</v>
      </c>
      <c r="C1031" s="208"/>
      <c r="D1031" s="209">
        <v>36.35</v>
      </c>
      <c r="E1031" s="208">
        <v>1</v>
      </c>
      <c r="F1031" s="209">
        <f t="shared" si="16"/>
        <v>36.35</v>
      </c>
      <c r="G1031" s="208"/>
      <c r="H1031" s="208"/>
    </row>
    <row r="1032" spans="1:8" ht="15.75" customHeight="1" x14ac:dyDescent="0.25">
      <c r="A1032" s="212" t="s">
        <v>1937</v>
      </c>
      <c r="B1032" s="207" t="s">
        <v>1919</v>
      </c>
      <c r="C1032" s="208"/>
      <c r="D1032" s="209">
        <v>31</v>
      </c>
      <c r="E1032" s="208">
        <v>1</v>
      </c>
      <c r="F1032" s="209">
        <f t="shared" si="16"/>
        <v>31</v>
      </c>
      <c r="G1032" s="208"/>
      <c r="H1032" s="208"/>
    </row>
    <row r="1033" spans="1:8" ht="15.75" customHeight="1" x14ac:dyDescent="0.25">
      <c r="A1033" s="212" t="s">
        <v>1938</v>
      </c>
      <c r="B1033" s="207" t="s">
        <v>1919</v>
      </c>
      <c r="C1033" s="208"/>
      <c r="D1033" s="209">
        <v>41.6</v>
      </c>
      <c r="E1033" s="208">
        <v>1</v>
      </c>
      <c r="F1033" s="209">
        <f t="shared" si="16"/>
        <v>41.6</v>
      </c>
      <c r="G1033" s="209"/>
      <c r="H1033" s="208"/>
    </row>
    <row r="1034" spans="1:8" ht="15.75" customHeight="1" x14ac:dyDescent="0.25">
      <c r="A1034" s="212" t="s">
        <v>1939</v>
      </c>
      <c r="B1034" s="207" t="s">
        <v>1919</v>
      </c>
      <c r="C1034" s="208"/>
      <c r="D1034" s="209">
        <v>26</v>
      </c>
      <c r="E1034" s="208">
        <v>0</v>
      </c>
      <c r="F1034" s="209">
        <f t="shared" si="16"/>
        <v>0</v>
      </c>
      <c r="G1034" s="209"/>
      <c r="H1034" s="208"/>
    </row>
    <row r="1035" spans="1:8" ht="15.75" customHeight="1" x14ac:dyDescent="0.25">
      <c r="A1035" s="212" t="s">
        <v>1940</v>
      </c>
      <c r="B1035" s="207"/>
      <c r="C1035" s="208" t="s">
        <v>724</v>
      </c>
      <c r="D1035" s="209">
        <v>31.5</v>
      </c>
      <c r="E1035" s="208">
        <v>0</v>
      </c>
      <c r="F1035" s="209">
        <f>D1035:D1035*E1035:E1035</f>
        <v>0</v>
      </c>
      <c r="G1035" s="209" t="s">
        <v>767</v>
      </c>
      <c r="H1035" s="208"/>
    </row>
    <row r="1036" spans="1:8" ht="15.75" customHeight="1" x14ac:dyDescent="0.25">
      <c r="A1036" s="212" t="s">
        <v>1941</v>
      </c>
      <c r="B1036" s="207"/>
      <c r="C1036" s="208" t="s">
        <v>724</v>
      </c>
      <c r="D1036" s="209">
        <v>29.9</v>
      </c>
      <c r="E1036" s="208">
        <v>1</v>
      </c>
      <c r="F1036" s="209">
        <f>D1036:D1036*E1036:E1036</f>
        <v>29.9</v>
      </c>
      <c r="G1036" s="209" t="s">
        <v>767</v>
      </c>
      <c r="H1036" s="208"/>
    </row>
    <row r="1037" spans="1:8" ht="15.75" customHeight="1" x14ac:dyDescent="0.25">
      <c r="A1037" s="212" t="s">
        <v>1942</v>
      </c>
      <c r="B1037" s="207"/>
      <c r="C1037" s="208" t="s">
        <v>724</v>
      </c>
      <c r="D1037" s="209">
        <v>31.5</v>
      </c>
      <c r="E1037" s="208">
        <v>0</v>
      </c>
      <c r="F1037" s="209">
        <f>D1037:D1037*E1037:E1037</f>
        <v>0</v>
      </c>
      <c r="G1037" s="209" t="s">
        <v>767</v>
      </c>
      <c r="H1037" s="208"/>
    </row>
    <row r="1038" spans="1:8" ht="15.75" customHeight="1" x14ac:dyDescent="0.25">
      <c r="A1038" s="212" t="s">
        <v>1943</v>
      </c>
      <c r="B1038" s="207"/>
      <c r="C1038" s="208" t="s">
        <v>1024</v>
      </c>
      <c r="D1038" s="209">
        <v>31</v>
      </c>
      <c r="E1038" s="208">
        <v>1</v>
      </c>
      <c r="F1038" s="209">
        <f>D1038:D1038*E1038:E1038</f>
        <v>31</v>
      </c>
      <c r="G1038" s="209" t="s">
        <v>1944</v>
      </c>
      <c r="H1038" s="208"/>
    </row>
    <row r="1039" spans="1:8" ht="15.75" customHeight="1" x14ac:dyDescent="0.25">
      <c r="A1039" s="212" t="s">
        <v>1945</v>
      </c>
      <c r="B1039" s="207" t="s">
        <v>1946</v>
      </c>
      <c r="C1039" s="208" t="s">
        <v>724</v>
      </c>
      <c r="D1039" s="209">
        <v>50</v>
      </c>
      <c r="E1039" s="208">
        <v>2</v>
      </c>
      <c r="F1039" s="209">
        <f>D1039:D1039*E1039:E1039</f>
        <v>100</v>
      </c>
      <c r="G1039" s="209" t="s">
        <v>1944</v>
      </c>
      <c r="H1039" s="208"/>
    </row>
    <row r="1040" spans="1:8" ht="13.5" customHeight="1" x14ac:dyDescent="0.25">
      <c r="A1040" s="212" t="s">
        <v>1947</v>
      </c>
      <c r="B1040" s="208"/>
      <c r="C1040" s="208"/>
      <c r="D1040" s="209">
        <v>20</v>
      </c>
      <c r="E1040" s="210">
        <v>6.5</v>
      </c>
      <c r="F1040" s="209">
        <f t="shared" si="16"/>
        <v>130</v>
      </c>
      <c r="G1040" s="209"/>
      <c r="H1040" s="208"/>
    </row>
    <row r="1041" spans="1:8" ht="13.5" customHeight="1" x14ac:dyDescent="0.25">
      <c r="A1041" s="212" t="s">
        <v>1948</v>
      </c>
      <c r="B1041" s="208"/>
      <c r="C1041" s="208"/>
      <c r="D1041" s="209">
        <v>21</v>
      </c>
      <c r="E1041" s="210">
        <v>2</v>
      </c>
      <c r="F1041" s="209">
        <f t="shared" si="16"/>
        <v>42</v>
      </c>
      <c r="G1041" s="209"/>
      <c r="H1041" s="208"/>
    </row>
    <row r="1042" spans="1:8" ht="13.5" customHeight="1" x14ac:dyDescent="0.25">
      <c r="A1042" s="224" t="s">
        <v>1949</v>
      </c>
      <c r="B1042" s="208"/>
      <c r="C1042" s="208"/>
      <c r="D1042" s="209">
        <v>18</v>
      </c>
      <c r="E1042" s="210">
        <v>1</v>
      </c>
      <c r="F1042" s="209">
        <f t="shared" si="16"/>
        <v>18</v>
      </c>
      <c r="G1042" s="209"/>
      <c r="H1042" s="208"/>
    </row>
    <row r="1043" spans="1:8" ht="13.5" customHeight="1" x14ac:dyDescent="0.25">
      <c r="A1043" s="224" t="s">
        <v>1950</v>
      </c>
      <c r="B1043" s="208"/>
      <c r="C1043" s="208"/>
      <c r="D1043" s="209">
        <v>24</v>
      </c>
      <c r="E1043" s="210">
        <v>1</v>
      </c>
      <c r="F1043" s="209">
        <f t="shared" si="16"/>
        <v>24</v>
      </c>
      <c r="G1043" s="209"/>
      <c r="H1043" s="208"/>
    </row>
    <row r="1044" spans="1:8" ht="15.75" customHeight="1" x14ac:dyDescent="0.25">
      <c r="A1044" s="224" t="s">
        <v>1951</v>
      </c>
      <c r="B1044" s="208"/>
      <c r="C1044" s="208"/>
      <c r="D1044" s="209">
        <v>18</v>
      </c>
      <c r="E1044" s="210">
        <v>1</v>
      </c>
      <c r="F1044" s="209">
        <f t="shared" si="16"/>
        <v>18</v>
      </c>
      <c r="G1044" s="209"/>
      <c r="H1044" s="208"/>
    </row>
    <row r="1045" spans="1:8" ht="15.75" customHeight="1" x14ac:dyDescent="0.25">
      <c r="A1045" s="224" t="s">
        <v>1952</v>
      </c>
      <c r="B1045" s="208"/>
      <c r="C1045" s="208"/>
      <c r="D1045" s="209">
        <v>58</v>
      </c>
      <c r="E1045" s="210">
        <v>1</v>
      </c>
      <c r="F1045" s="209">
        <f t="shared" si="16"/>
        <v>58</v>
      </c>
      <c r="G1045" s="209"/>
      <c r="H1045" s="208"/>
    </row>
    <row r="1046" spans="1:8" ht="13.5" customHeight="1" x14ac:dyDescent="0.25">
      <c r="A1046" s="212" t="s">
        <v>1953</v>
      </c>
      <c r="B1046" s="208"/>
      <c r="C1046" s="208"/>
      <c r="D1046" s="209">
        <v>32</v>
      </c>
      <c r="E1046" s="210">
        <v>4</v>
      </c>
      <c r="F1046" s="209">
        <f t="shared" si="16"/>
        <v>128</v>
      </c>
      <c r="G1046" s="207" t="s">
        <v>882</v>
      </c>
      <c r="H1046" s="208"/>
    </row>
    <row r="1047" spans="1:8" ht="15.75" customHeight="1" x14ac:dyDescent="0.25">
      <c r="A1047" s="219" t="s">
        <v>1954</v>
      </c>
      <c r="B1047" s="208"/>
      <c r="C1047" s="208"/>
      <c r="D1047" s="209">
        <v>39</v>
      </c>
      <c r="E1047" s="210">
        <v>3</v>
      </c>
      <c r="F1047" s="209">
        <f t="shared" si="16"/>
        <v>117</v>
      </c>
      <c r="G1047" s="208"/>
      <c r="H1047" s="208"/>
    </row>
    <row r="1048" spans="1:8" ht="15.75" customHeight="1" x14ac:dyDescent="0.25">
      <c r="A1048" s="224" t="s">
        <v>1955</v>
      </c>
      <c r="B1048" s="208"/>
      <c r="C1048" s="208"/>
      <c r="D1048" s="209">
        <v>18</v>
      </c>
      <c r="E1048" s="210">
        <v>1</v>
      </c>
      <c r="F1048" s="209">
        <f t="shared" si="16"/>
        <v>18</v>
      </c>
      <c r="G1048" s="208"/>
      <c r="H1048" s="208"/>
    </row>
    <row r="1049" spans="1:8" ht="15.75" customHeight="1" x14ac:dyDescent="0.25">
      <c r="A1049" s="212" t="s">
        <v>1956</v>
      </c>
      <c r="B1049" s="208"/>
      <c r="C1049" s="208"/>
      <c r="D1049" s="209">
        <v>10</v>
      </c>
      <c r="E1049" s="208"/>
      <c r="F1049" s="209">
        <f t="shared" si="16"/>
        <v>0</v>
      </c>
      <c r="G1049" s="208"/>
      <c r="H1049" s="208"/>
    </row>
    <row r="1050" spans="1:8" ht="15.75" customHeight="1" x14ac:dyDescent="0.25">
      <c r="A1050" s="212" t="s">
        <v>1957</v>
      </c>
      <c r="B1050" s="208"/>
      <c r="C1050" s="208">
        <v>0.25</v>
      </c>
      <c r="D1050" s="209">
        <v>18.95</v>
      </c>
      <c r="E1050" s="208"/>
      <c r="F1050" s="209">
        <f t="shared" si="16"/>
        <v>0</v>
      </c>
      <c r="G1050" s="208"/>
      <c r="H1050" s="208"/>
    </row>
    <row r="1051" spans="1:8" ht="15.75" customHeight="1" x14ac:dyDescent="0.25">
      <c r="A1051" s="212" t="s">
        <v>1958</v>
      </c>
      <c r="B1051" s="208"/>
      <c r="C1051" s="208">
        <v>5</v>
      </c>
      <c r="D1051" s="209">
        <v>30</v>
      </c>
      <c r="E1051" s="208">
        <v>1</v>
      </c>
      <c r="F1051" s="209">
        <f t="shared" si="16"/>
        <v>30</v>
      </c>
      <c r="G1051" s="209"/>
      <c r="H1051" s="208"/>
    </row>
    <row r="1052" spans="1:8" ht="15.75" customHeight="1" x14ac:dyDescent="0.25">
      <c r="A1052" s="212" t="s">
        <v>1959</v>
      </c>
      <c r="B1052" s="208"/>
      <c r="C1052" s="208">
        <v>1.1000000000000001</v>
      </c>
      <c r="D1052" s="209">
        <v>14.7</v>
      </c>
      <c r="E1052" s="208"/>
      <c r="F1052" s="209">
        <f t="shared" si="16"/>
        <v>0</v>
      </c>
      <c r="G1052" s="207" t="s">
        <v>882</v>
      </c>
      <c r="H1052" s="208"/>
    </row>
    <row r="1053" spans="1:8" ht="15.75" customHeight="1" x14ac:dyDescent="0.25">
      <c r="A1053" s="212" t="s">
        <v>1960</v>
      </c>
      <c r="B1053" s="208"/>
      <c r="C1053" s="208"/>
      <c r="D1053" s="209">
        <v>14.65</v>
      </c>
      <c r="E1053" s="208">
        <v>1</v>
      </c>
      <c r="F1053" s="209">
        <f t="shared" si="16"/>
        <v>14.65</v>
      </c>
      <c r="G1053" s="209"/>
      <c r="H1053" s="208"/>
    </row>
    <row r="1054" spans="1:8" ht="15.75" customHeight="1" x14ac:dyDescent="0.25">
      <c r="A1054" s="212" t="s">
        <v>1961</v>
      </c>
      <c r="B1054" s="208"/>
      <c r="C1054" s="208"/>
      <c r="D1054" s="209">
        <v>22.5</v>
      </c>
      <c r="E1054" s="208">
        <v>1</v>
      </c>
      <c r="F1054" s="209">
        <f t="shared" si="16"/>
        <v>22.5</v>
      </c>
      <c r="G1054" s="209"/>
      <c r="H1054" s="208"/>
    </row>
    <row r="1055" spans="1:8" ht="15.75" customHeight="1" x14ac:dyDescent="0.25">
      <c r="A1055" s="212" t="s">
        <v>1962</v>
      </c>
      <c r="B1055" s="208"/>
      <c r="C1055" s="208"/>
      <c r="D1055" s="209">
        <v>19.75</v>
      </c>
      <c r="E1055" s="208">
        <v>1</v>
      </c>
      <c r="F1055" s="209">
        <f t="shared" si="16"/>
        <v>19.75</v>
      </c>
      <c r="G1055" s="209"/>
      <c r="H1055" s="208"/>
    </row>
    <row r="1056" spans="1:8" ht="15.75" customHeight="1" x14ac:dyDescent="0.25">
      <c r="A1056" s="212" t="s">
        <v>1963</v>
      </c>
      <c r="B1056" s="208"/>
      <c r="C1056" s="208"/>
      <c r="D1056" s="209">
        <v>38</v>
      </c>
      <c r="E1056" s="208">
        <v>0.5</v>
      </c>
      <c r="F1056" s="209">
        <f t="shared" si="16"/>
        <v>19</v>
      </c>
      <c r="G1056" s="209"/>
      <c r="H1056" s="208"/>
    </row>
    <row r="1057" spans="1:8" ht="15.75" customHeight="1" x14ac:dyDescent="0.25">
      <c r="A1057" s="212" t="s">
        <v>1964</v>
      </c>
      <c r="B1057" s="208"/>
      <c r="C1057" s="208"/>
      <c r="D1057" s="209">
        <v>45</v>
      </c>
      <c r="E1057" s="208">
        <v>1</v>
      </c>
      <c r="F1057" s="209">
        <f t="shared" ref="F1057:F1127" si="17">D1057:D1057*E1057:E1057</f>
        <v>45</v>
      </c>
      <c r="G1057" s="209" t="s">
        <v>767</v>
      </c>
      <c r="H1057" s="208"/>
    </row>
    <row r="1058" spans="1:8" ht="15.75" customHeight="1" x14ac:dyDescent="0.25">
      <c r="A1058" s="212" t="s">
        <v>1965</v>
      </c>
      <c r="B1058" s="207" t="s">
        <v>1946</v>
      </c>
      <c r="C1058" s="208"/>
      <c r="D1058" s="209">
        <v>8.9499999999999993</v>
      </c>
      <c r="E1058" s="208">
        <v>2.8</v>
      </c>
      <c r="F1058" s="209">
        <f t="shared" si="17"/>
        <v>25.059999999999995</v>
      </c>
      <c r="G1058" s="209"/>
      <c r="H1058" s="208"/>
    </row>
    <row r="1059" spans="1:8" ht="15.75" customHeight="1" x14ac:dyDescent="0.25">
      <c r="A1059" s="212" t="s">
        <v>1966</v>
      </c>
      <c r="B1059" s="207" t="s">
        <v>1946</v>
      </c>
      <c r="C1059" s="208"/>
      <c r="D1059" s="209">
        <v>8.9499999999999993</v>
      </c>
      <c r="E1059" s="208">
        <v>3</v>
      </c>
      <c r="F1059" s="209">
        <f t="shared" si="17"/>
        <v>26.849999999999998</v>
      </c>
      <c r="G1059" s="209"/>
      <c r="H1059" s="208"/>
    </row>
    <row r="1060" spans="1:8" ht="15.75" customHeight="1" x14ac:dyDescent="0.25">
      <c r="A1060" s="212" t="s">
        <v>1967</v>
      </c>
      <c r="B1060" s="208"/>
      <c r="C1060" s="207" t="s">
        <v>699</v>
      </c>
      <c r="D1060" s="209">
        <v>28.3</v>
      </c>
      <c r="E1060" s="208">
        <v>1.8</v>
      </c>
      <c r="F1060" s="209">
        <f t="shared" si="17"/>
        <v>50.940000000000005</v>
      </c>
      <c r="G1060" s="209"/>
      <c r="H1060" s="208"/>
    </row>
    <row r="1061" spans="1:8" ht="15.75" customHeight="1" x14ac:dyDescent="0.25">
      <c r="A1061" s="212" t="s">
        <v>1968</v>
      </c>
      <c r="B1061" s="208"/>
      <c r="C1061" s="208">
        <v>1</v>
      </c>
      <c r="D1061" s="209">
        <v>48</v>
      </c>
      <c r="E1061" s="208">
        <v>3</v>
      </c>
      <c r="F1061" s="209">
        <f t="shared" si="17"/>
        <v>144</v>
      </c>
      <c r="G1061" s="208"/>
      <c r="H1061" s="208"/>
    </row>
    <row r="1062" spans="1:8" ht="15.75" customHeight="1" x14ac:dyDescent="0.25">
      <c r="A1062" s="212" t="s">
        <v>1969</v>
      </c>
      <c r="B1062" s="208"/>
      <c r="C1062" s="208">
        <v>1</v>
      </c>
      <c r="D1062" s="209">
        <v>48</v>
      </c>
      <c r="E1062" s="208">
        <v>3</v>
      </c>
      <c r="F1062" s="209">
        <f t="shared" si="17"/>
        <v>144</v>
      </c>
      <c r="G1062" s="207"/>
      <c r="H1062" s="208"/>
    </row>
    <row r="1063" spans="1:8" ht="15.75" customHeight="1" x14ac:dyDescent="0.25">
      <c r="A1063" s="212" t="s">
        <v>1970</v>
      </c>
      <c r="B1063" s="208"/>
      <c r="C1063" s="208"/>
      <c r="D1063" s="209">
        <v>13.95</v>
      </c>
      <c r="E1063" s="210">
        <v>2</v>
      </c>
      <c r="F1063" s="209">
        <f t="shared" si="17"/>
        <v>27.9</v>
      </c>
      <c r="G1063" s="207" t="s">
        <v>778</v>
      </c>
      <c r="H1063" s="208"/>
    </row>
    <row r="1064" spans="1:8" ht="15.75" customHeight="1" x14ac:dyDescent="0.25">
      <c r="A1064" s="212" t="s">
        <v>1971</v>
      </c>
      <c r="B1064" s="208"/>
      <c r="C1064" s="208"/>
      <c r="D1064" s="209">
        <v>10.55</v>
      </c>
      <c r="E1064" s="208">
        <v>3</v>
      </c>
      <c r="F1064" s="209">
        <f t="shared" si="17"/>
        <v>31.650000000000002</v>
      </c>
      <c r="G1064" s="211" t="s">
        <v>767</v>
      </c>
      <c r="H1064" s="208"/>
    </row>
    <row r="1065" spans="1:8" ht="15.75" customHeight="1" x14ac:dyDescent="0.25">
      <c r="A1065" s="212" t="s">
        <v>1972</v>
      </c>
      <c r="B1065" s="208"/>
      <c r="C1065" s="208"/>
      <c r="D1065" s="209">
        <v>9</v>
      </c>
      <c r="E1065" s="210">
        <v>4.3</v>
      </c>
      <c r="F1065" s="209">
        <f t="shared" si="17"/>
        <v>38.699999999999996</v>
      </c>
      <c r="G1065" s="211" t="s">
        <v>767</v>
      </c>
      <c r="H1065" s="208"/>
    </row>
    <row r="1066" spans="1:8" ht="15.75" customHeight="1" x14ac:dyDescent="0.25">
      <c r="A1066" s="212" t="s">
        <v>1973</v>
      </c>
      <c r="B1066" s="208"/>
      <c r="C1066" s="208">
        <v>0.5</v>
      </c>
      <c r="D1066" s="209">
        <v>8.9499999999999993</v>
      </c>
      <c r="E1066" s="208">
        <v>5</v>
      </c>
      <c r="F1066" s="209">
        <f t="shared" si="17"/>
        <v>44.75</v>
      </c>
      <c r="G1066" s="211" t="s">
        <v>767</v>
      </c>
      <c r="H1066" s="208"/>
    </row>
    <row r="1067" spans="1:8" ht="15.75" customHeight="1" x14ac:dyDescent="0.25">
      <c r="A1067" s="212" t="s">
        <v>1974</v>
      </c>
      <c r="B1067" s="208"/>
      <c r="C1067" s="208">
        <v>2.25</v>
      </c>
      <c r="D1067" s="209">
        <v>58.5</v>
      </c>
      <c r="E1067" s="210">
        <v>2.25</v>
      </c>
      <c r="F1067" s="209">
        <f t="shared" si="17"/>
        <v>131.625</v>
      </c>
      <c r="G1067" s="207" t="s">
        <v>778</v>
      </c>
      <c r="H1067" s="208"/>
    </row>
    <row r="1068" spans="1:8" ht="15.75" customHeight="1" x14ac:dyDescent="0.25">
      <c r="A1068" s="212" t="s">
        <v>1975</v>
      </c>
      <c r="B1068" s="208"/>
      <c r="C1068" s="208"/>
      <c r="D1068" s="209">
        <v>142</v>
      </c>
      <c r="E1068" s="208">
        <v>0.8</v>
      </c>
      <c r="F1068" s="209">
        <f t="shared" si="17"/>
        <v>113.60000000000001</v>
      </c>
      <c r="G1068" s="208"/>
      <c r="H1068" s="208"/>
    </row>
    <row r="1069" spans="1:8" ht="15.75" customHeight="1" x14ac:dyDescent="0.25">
      <c r="A1069" s="212" t="s">
        <v>1976</v>
      </c>
      <c r="B1069" s="208"/>
      <c r="C1069" s="208"/>
      <c r="D1069" s="209">
        <v>9.17</v>
      </c>
      <c r="E1069" s="208">
        <v>1</v>
      </c>
      <c r="F1069" s="209">
        <f t="shared" si="17"/>
        <v>9.17</v>
      </c>
      <c r="G1069" s="211" t="s">
        <v>767</v>
      </c>
      <c r="H1069" s="208"/>
    </row>
    <row r="1070" spans="1:8" ht="15.75" customHeight="1" x14ac:dyDescent="0.25">
      <c r="A1070" s="212" t="s">
        <v>1977</v>
      </c>
      <c r="B1070" s="207" t="s">
        <v>1978</v>
      </c>
      <c r="C1070" s="208">
        <v>0.25</v>
      </c>
      <c r="D1070" s="209">
        <v>4.8</v>
      </c>
      <c r="E1070" s="208">
        <v>0</v>
      </c>
      <c r="F1070" s="209">
        <f t="shared" si="17"/>
        <v>0</v>
      </c>
      <c r="G1070" s="207" t="s">
        <v>778</v>
      </c>
      <c r="H1070" s="208"/>
    </row>
    <row r="1071" spans="1:8" ht="15.75" customHeight="1" x14ac:dyDescent="0.25">
      <c r="A1071" s="212" t="s">
        <v>1979</v>
      </c>
      <c r="B1071" s="207" t="s">
        <v>1980</v>
      </c>
      <c r="C1071" s="208">
        <v>1</v>
      </c>
      <c r="D1071" s="209">
        <v>10.6</v>
      </c>
      <c r="E1071" s="208">
        <v>1</v>
      </c>
      <c r="F1071" s="209">
        <f t="shared" si="17"/>
        <v>10.6</v>
      </c>
      <c r="G1071" s="208"/>
      <c r="H1071" s="208"/>
    </row>
    <row r="1072" spans="1:8" ht="15.75" customHeight="1" x14ac:dyDescent="0.25">
      <c r="A1072" s="212" t="s">
        <v>1981</v>
      </c>
      <c r="B1072" s="207" t="s">
        <v>1980</v>
      </c>
      <c r="C1072" s="208">
        <v>1</v>
      </c>
      <c r="D1072" s="209">
        <v>9.9499999999999993</v>
      </c>
      <c r="E1072" s="208">
        <v>1</v>
      </c>
      <c r="F1072" s="209">
        <f t="shared" si="17"/>
        <v>9.9499999999999993</v>
      </c>
      <c r="G1072" s="208"/>
      <c r="H1072" s="208"/>
    </row>
    <row r="1073" spans="1:8" ht="13.5" customHeight="1" x14ac:dyDescent="0.25">
      <c r="A1073" s="212" t="s">
        <v>1982</v>
      </c>
      <c r="B1073" s="207" t="s">
        <v>1562</v>
      </c>
      <c r="C1073" s="208"/>
      <c r="D1073" s="209">
        <v>60</v>
      </c>
      <c r="E1073" s="208">
        <v>1</v>
      </c>
      <c r="F1073" s="209">
        <f t="shared" si="17"/>
        <v>60</v>
      </c>
      <c r="G1073" s="208"/>
      <c r="H1073" s="208"/>
    </row>
    <row r="1074" spans="1:8" ht="13.5" customHeight="1" x14ac:dyDescent="0.25">
      <c r="A1074" s="219"/>
      <c r="B1074" s="207" t="s">
        <v>1980</v>
      </c>
      <c r="C1074" s="208"/>
      <c r="D1074" s="209">
        <v>61.5</v>
      </c>
      <c r="E1074" s="208"/>
      <c r="F1074" s="209">
        <f t="shared" si="17"/>
        <v>0</v>
      </c>
      <c r="G1074" s="208"/>
      <c r="H1074" s="208"/>
    </row>
    <row r="1075" spans="1:8" ht="13.5" customHeight="1" x14ac:dyDescent="0.25">
      <c r="A1075" s="207" t="s">
        <v>1983</v>
      </c>
      <c r="B1075" s="207" t="s">
        <v>1980</v>
      </c>
      <c r="C1075" s="208">
        <v>0.5</v>
      </c>
      <c r="D1075" s="209">
        <v>18.3</v>
      </c>
      <c r="E1075" s="208"/>
      <c r="F1075" s="209">
        <f t="shared" si="17"/>
        <v>0</v>
      </c>
      <c r="G1075" s="208"/>
      <c r="H1075" s="208"/>
    </row>
    <row r="1076" spans="1:8" ht="15.75" customHeight="1" x14ac:dyDescent="0.25">
      <c r="A1076" s="207" t="s">
        <v>1984</v>
      </c>
      <c r="B1076" s="207" t="s">
        <v>1980</v>
      </c>
      <c r="C1076" s="208">
        <v>3</v>
      </c>
      <c r="D1076" s="209">
        <v>99.3</v>
      </c>
      <c r="E1076" s="208">
        <v>0</v>
      </c>
      <c r="F1076" s="209">
        <f t="shared" si="17"/>
        <v>0</v>
      </c>
      <c r="G1076" s="208"/>
      <c r="H1076" s="208"/>
    </row>
    <row r="1077" spans="1:8" ht="15.75" customHeight="1" x14ac:dyDescent="0.25">
      <c r="A1077" s="207" t="s">
        <v>1985</v>
      </c>
      <c r="B1077" s="207" t="s">
        <v>1980</v>
      </c>
      <c r="C1077" s="208">
        <v>12.5</v>
      </c>
      <c r="D1077" s="209">
        <v>87.55</v>
      </c>
      <c r="E1077" s="208">
        <v>0</v>
      </c>
      <c r="F1077" s="209">
        <f t="shared" si="17"/>
        <v>0</v>
      </c>
      <c r="G1077" s="208"/>
      <c r="H1077" s="208"/>
    </row>
    <row r="1078" spans="1:8" ht="15.75" customHeight="1" x14ac:dyDescent="0.25">
      <c r="A1078" s="212" t="s">
        <v>1986</v>
      </c>
      <c r="B1078" s="208"/>
      <c r="C1078" s="208">
        <v>2</v>
      </c>
      <c r="D1078" s="209">
        <v>39.9</v>
      </c>
      <c r="E1078" s="208">
        <v>0.5</v>
      </c>
      <c r="F1078" s="209">
        <f t="shared" si="17"/>
        <v>19.95</v>
      </c>
      <c r="G1078" s="208"/>
      <c r="H1078" s="208"/>
    </row>
    <row r="1079" spans="1:8" ht="15.75" customHeight="1" x14ac:dyDescent="0.25">
      <c r="A1079" s="212" t="s">
        <v>1987</v>
      </c>
      <c r="B1079" s="208"/>
      <c r="C1079" s="208">
        <v>1</v>
      </c>
      <c r="D1079" s="209">
        <v>32.5</v>
      </c>
      <c r="E1079" s="208">
        <v>1</v>
      </c>
      <c r="F1079" s="209">
        <f t="shared" si="17"/>
        <v>32.5</v>
      </c>
      <c r="G1079" s="208"/>
      <c r="H1079" s="208"/>
    </row>
    <row r="1080" spans="1:8" ht="15.75" customHeight="1" x14ac:dyDescent="0.25">
      <c r="A1080" s="212" t="s">
        <v>1988</v>
      </c>
      <c r="B1080" s="208"/>
      <c r="C1080" s="208">
        <v>0.1</v>
      </c>
      <c r="D1080" s="209">
        <v>13.8</v>
      </c>
      <c r="E1080" s="208"/>
      <c r="F1080" s="209">
        <f t="shared" si="17"/>
        <v>0</v>
      </c>
      <c r="G1080" s="207" t="s">
        <v>778</v>
      </c>
      <c r="H1080" s="208"/>
    </row>
    <row r="1081" spans="1:8" ht="15.75" customHeight="1" x14ac:dyDescent="0.25">
      <c r="A1081" s="212" t="s">
        <v>1989</v>
      </c>
      <c r="B1081" s="214" t="s">
        <v>1990</v>
      </c>
      <c r="C1081" s="208">
        <v>10</v>
      </c>
      <c r="D1081" s="209">
        <v>245</v>
      </c>
      <c r="E1081" s="208">
        <v>1</v>
      </c>
      <c r="F1081" s="209">
        <f t="shared" si="17"/>
        <v>245</v>
      </c>
      <c r="G1081" s="207" t="s">
        <v>778</v>
      </c>
      <c r="H1081" s="208"/>
    </row>
    <row r="1082" spans="1:8" ht="15.75" customHeight="1" x14ac:dyDescent="0.25">
      <c r="A1082" s="212" t="s">
        <v>1991</v>
      </c>
      <c r="B1082" s="207" t="s">
        <v>1992</v>
      </c>
      <c r="C1082" s="208"/>
      <c r="D1082" s="209">
        <v>50.8</v>
      </c>
      <c r="E1082" s="208">
        <v>0.2</v>
      </c>
      <c r="F1082" s="209">
        <f t="shared" si="17"/>
        <v>10.16</v>
      </c>
      <c r="G1082" s="208"/>
      <c r="H1082" s="208"/>
    </row>
    <row r="1083" spans="1:8" ht="15.75" customHeight="1" x14ac:dyDescent="0.25">
      <c r="A1083" s="212" t="s">
        <v>1993</v>
      </c>
      <c r="B1083" s="207" t="s">
        <v>1994</v>
      </c>
      <c r="C1083" s="208"/>
      <c r="D1083" s="209">
        <v>23.5</v>
      </c>
      <c r="E1083" s="208">
        <v>0.8</v>
      </c>
      <c r="F1083" s="209">
        <f t="shared" si="17"/>
        <v>18.8</v>
      </c>
      <c r="G1083" s="211" t="s">
        <v>767</v>
      </c>
      <c r="H1083" s="208"/>
    </row>
    <row r="1084" spans="1:8" ht="15.75" customHeight="1" x14ac:dyDescent="0.25">
      <c r="A1084" s="212" t="s">
        <v>1995</v>
      </c>
      <c r="B1084" s="207" t="s">
        <v>1992</v>
      </c>
      <c r="C1084" s="208"/>
      <c r="D1084" s="209">
        <v>53.45</v>
      </c>
      <c r="E1084" s="208"/>
      <c r="F1084" s="209">
        <f t="shared" si="17"/>
        <v>0</v>
      </c>
      <c r="G1084" s="208"/>
      <c r="H1084" s="208"/>
    </row>
    <row r="1085" spans="1:8" ht="15.75" customHeight="1" x14ac:dyDescent="0.25">
      <c r="A1085" s="212" t="s">
        <v>1996</v>
      </c>
      <c r="B1085" s="207" t="s">
        <v>1919</v>
      </c>
      <c r="C1085" s="208"/>
      <c r="D1085" s="209">
        <v>34.450000000000003</v>
      </c>
      <c r="E1085" s="208"/>
      <c r="F1085" s="209">
        <f t="shared" si="17"/>
        <v>0</v>
      </c>
      <c r="G1085" s="207" t="s">
        <v>778</v>
      </c>
      <c r="H1085" s="208"/>
    </row>
    <row r="1086" spans="1:8" ht="13.5" customHeight="1" x14ac:dyDescent="0.25">
      <c r="A1086" s="212" t="s">
        <v>1997</v>
      </c>
      <c r="B1086" s="207" t="s">
        <v>1998</v>
      </c>
      <c r="C1086" s="208"/>
      <c r="D1086" s="209">
        <v>27.3</v>
      </c>
      <c r="E1086" s="208">
        <v>2</v>
      </c>
      <c r="F1086" s="209">
        <f t="shared" si="17"/>
        <v>54.6</v>
      </c>
      <c r="G1086" s="208"/>
      <c r="H1086" s="208"/>
    </row>
    <row r="1087" spans="1:8" ht="15.75" customHeight="1" x14ac:dyDescent="0.25">
      <c r="A1087" s="212" t="s">
        <v>1999</v>
      </c>
      <c r="B1087" s="207" t="s">
        <v>2000</v>
      </c>
      <c r="C1087" s="208"/>
      <c r="D1087" s="209">
        <v>119</v>
      </c>
      <c r="E1087" s="208">
        <v>5</v>
      </c>
      <c r="F1087" s="209">
        <f t="shared" si="17"/>
        <v>595</v>
      </c>
      <c r="G1087" s="211" t="s">
        <v>767</v>
      </c>
      <c r="H1087" s="208"/>
    </row>
    <row r="1088" spans="1:8" ht="13.5" customHeight="1" x14ac:dyDescent="0.25">
      <c r="A1088" s="207" t="s">
        <v>2001</v>
      </c>
      <c r="B1088" s="207" t="s">
        <v>2002</v>
      </c>
      <c r="C1088" s="208"/>
      <c r="D1088" s="209">
        <v>72.5</v>
      </c>
      <c r="E1088" s="208">
        <v>1</v>
      </c>
      <c r="F1088" s="209">
        <f t="shared" si="17"/>
        <v>72.5</v>
      </c>
      <c r="G1088" s="208"/>
      <c r="H1088" s="208"/>
    </row>
    <row r="1089" spans="1:8" ht="13.5" customHeight="1" x14ac:dyDescent="0.25">
      <c r="A1089" s="212" t="s">
        <v>2003</v>
      </c>
      <c r="B1089" s="208"/>
      <c r="C1089" s="208"/>
      <c r="D1089" s="209">
        <v>5.05</v>
      </c>
      <c r="E1089" s="208">
        <v>5</v>
      </c>
      <c r="F1089" s="209">
        <f t="shared" si="17"/>
        <v>25.25</v>
      </c>
      <c r="G1089" s="208"/>
      <c r="H1089" s="208"/>
    </row>
    <row r="1090" spans="1:8" ht="15.75" customHeight="1" x14ac:dyDescent="0.25">
      <c r="A1090" s="207" t="s">
        <v>2004</v>
      </c>
      <c r="B1090" s="207" t="s">
        <v>2002</v>
      </c>
      <c r="C1090" s="208"/>
      <c r="D1090" s="209">
        <v>89.35</v>
      </c>
      <c r="E1090" s="208"/>
      <c r="F1090" s="209">
        <f t="shared" si="17"/>
        <v>0</v>
      </c>
      <c r="G1090" s="207" t="s">
        <v>778</v>
      </c>
      <c r="H1090" s="208"/>
    </row>
    <row r="1091" spans="1:8" ht="15.75" customHeight="1" x14ac:dyDescent="0.25">
      <c r="A1091" s="207" t="s">
        <v>2005</v>
      </c>
      <c r="B1091" s="207" t="s">
        <v>2002</v>
      </c>
      <c r="C1091" s="208"/>
      <c r="D1091" s="209">
        <v>95</v>
      </c>
      <c r="E1091" s="208"/>
      <c r="F1091" s="209">
        <f t="shared" si="17"/>
        <v>0</v>
      </c>
      <c r="G1091" s="208"/>
      <c r="H1091" s="208"/>
    </row>
    <row r="1092" spans="1:8" ht="15.75" customHeight="1" x14ac:dyDescent="0.25">
      <c r="A1092" s="212" t="s">
        <v>2006</v>
      </c>
      <c r="B1092" s="207" t="s">
        <v>1884</v>
      </c>
      <c r="C1092" s="208">
        <v>0.5</v>
      </c>
      <c r="D1092" s="209">
        <v>67.099999999999994</v>
      </c>
      <c r="E1092" s="208">
        <v>1</v>
      </c>
      <c r="F1092" s="209">
        <f t="shared" si="17"/>
        <v>67.099999999999994</v>
      </c>
      <c r="G1092" s="211" t="s">
        <v>767</v>
      </c>
      <c r="H1092" s="208"/>
    </row>
    <row r="1093" spans="1:8" ht="15.75" customHeight="1" x14ac:dyDescent="0.25">
      <c r="A1093" s="212" t="s">
        <v>2007</v>
      </c>
      <c r="B1093" s="208"/>
      <c r="C1093" s="208">
        <v>0.13</v>
      </c>
      <c r="D1093" s="209">
        <v>35.450000000000003</v>
      </c>
      <c r="E1093" s="208"/>
      <c r="F1093" s="209">
        <f t="shared" si="17"/>
        <v>0</v>
      </c>
      <c r="G1093" s="208"/>
      <c r="H1093" s="208"/>
    </row>
    <row r="1094" spans="1:8" ht="15.75" customHeight="1" x14ac:dyDescent="0.25">
      <c r="A1094" s="212" t="s">
        <v>2008</v>
      </c>
      <c r="B1094" s="207" t="s">
        <v>2002</v>
      </c>
      <c r="C1094" s="208"/>
      <c r="D1094" s="209">
        <v>15.4</v>
      </c>
      <c r="E1094" s="208">
        <v>1</v>
      </c>
      <c r="F1094" s="209">
        <f t="shared" si="17"/>
        <v>15.4</v>
      </c>
      <c r="G1094" s="208"/>
      <c r="H1094" s="208"/>
    </row>
    <row r="1095" spans="1:8" ht="15.75" customHeight="1" x14ac:dyDescent="0.25">
      <c r="A1095" s="212" t="s">
        <v>2009</v>
      </c>
      <c r="B1095" s="207" t="s">
        <v>2002</v>
      </c>
      <c r="C1095" s="208"/>
      <c r="D1095" s="209">
        <v>27.3</v>
      </c>
      <c r="E1095" s="208">
        <v>0</v>
      </c>
      <c r="F1095" s="209">
        <f t="shared" si="17"/>
        <v>0</v>
      </c>
      <c r="G1095" s="208"/>
      <c r="H1095" s="208"/>
    </row>
    <row r="1096" spans="1:8" ht="15.75" customHeight="1" x14ac:dyDescent="0.25">
      <c r="A1096" s="212" t="s">
        <v>2010</v>
      </c>
      <c r="B1096" s="207" t="s">
        <v>2002</v>
      </c>
      <c r="C1096" s="208"/>
      <c r="D1096" s="209">
        <v>26.6</v>
      </c>
      <c r="E1096" s="208">
        <v>1</v>
      </c>
      <c r="F1096" s="209">
        <f t="shared" si="17"/>
        <v>26.6</v>
      </c>
      <c r="G1096" s="208"/>
      <c r="H1096" s="208"/>
    </row>
    <row r="1097" spans="1:8" ht="15.75" customHeight="1" x14ac:dyDescent="0.25">
      <c r="A1097" s="212" t="s">
        <v>2011</v>
      </c>
      <c r="B1097" s="207" t="s">
        <v>2002</v>
      </c>
      <c r="C1097" s="208"/>
      <c r="D1097" s="209">
        <v>33.549999999999997</v>
      </c>
      <c r="E1097" s="208">
        <v>1</v>
      </c>
      <c r="F1097" s="209">
        <f t="shared" si="17"/>
        <v>33.549999999999997</v>
      </c>
      <c r="G1097" s="208"/>
      <c r="H1097" s="208"/>
    </row>
    <row r="1098" spans="1:8" ht="15.75" customHeight="1" x14ac:dyDescent="0.25">
      <c r="A1098" s="212" t="s">
        <v>2012</v>
      </c>
      <c r="B1098" s="207" t="s">
        <v>2002</v>
      </c>
      <c r="C1098" s="208"/>
      <c r="D1098" s="209">
        <v>28</v>
      </c>
      <c r="E1098" s="208">
        <v>1</v>
      </c>
      <c r="F1098" s="209">
        <f t="shared" si="17"/>
        <v>28</v>
      </c>
      <c r="G1098" s="208"/>
      <c r="H1098" s="208"/>
    </row>
    <row r="1099" spans="1:8" ht="15.75" customHeight="1" x14ac:dyDescent="0.25">
      <c r="A1099" s="212" t="s">
        <v>2013</v>
      </c>
      <c r="B1099" s="207" t="s">
        <v>2002</v>
      </c>
      <c r="C1099" s="208"/>
      <c r="D1099" s="209">
        <v>30.35</v>
      </c>
      <c r="E1099" s="208">
        <v>1</v>
      </c>
      <c r="F1099" s="209">
        <f t="shared" si="17"/>
        <v>30.35</v>
      </c>
      <c r="G1099" s="208"/>
      <c r="H1099" s="208"/>
    </row>
    <row r="1100" spans="1:8" ht="15.75" customHeight="1" x14ac:dyDescent="0.25">
      <c r="A1100" s="212" t="s">
        <v>2014</v>
      </c>
      <c r="B1100" s="208"/>
      <c r="C1100" s="208"/>
      <c r="D1100" s="209">
        <v>30.8</v>
      </c>
      <c r="E1100" s="208">
        <v>0</v>
      </c>
      <c r="F1100" s="209">
        <f t="shared" si="17"/>
        <v>0</v>
      </c>
      <c r="G1100" s="208"/>
      <c r="H1100" s="208"/>
    </row>
    <row r="1101" spans="1:8" ht="15.75" customHeight="1" x14ac:dyDescent="0.25">
      <c r="A1101" s="212" t="s">
        <v>2015</v>
      </c>
      <c r="B1101" s="207" t="s">
        <v>2002</v>
      </c>
      <c r="C1101" s="208"/>
      <c r="D1101" s="209">
        <v>18.3</v>
      </c>
      <c r="E1101" s="208">
        <v>0.8</v>
      </c>
      <c r="F1101" s="209">
        <f t="shared" si="17"/>
        <v>14.64</v>
      </c>
      <c r="G1101" s="208"/>
      <c r="H1101" s="208"/>
    </row>
    <row r="1102" spans="1:8" ht="15.75" customHeight="1" x14ac:dyDescent="0.25">
      <c r="A1102" s="212" t="s">
        <v>2016</v>
      </c>
      <c r="B1102" s="207" t="s">
        <v>2002</v>
      </c>
      <c r="C1102" s="208"/>
      <c r="D1102" s="209">
        <v>30.8</v>
      </c>
      <c r="E1102" s="208">
        <v>0</v>
      </c>
      <c r="F1102" s="209">
        <f t="shared" si="17"/>
        <v>0</v>
      </c>
      <c r="G1102" s="208"/>
      <c r="H1102" s="208"/>
    </row>
    <row r="1103" spans="1:8" ht="15.75" customHeight="1" x14ac:dyDescent="0.25">
      <c r="A1103" s="212" t="s">
        <v>2017</v>
      </c>
      <c r="B1103" s="207" t="s">
        <v>2002</v>
      </c>
      <c r="C1103" s="208"/>
      <c r="D1103" s="209">
        <v>26.8</v>
      </c>
      <c r="E1103" s="208">
        <v>1</v>
      </c>
      <c r="F1103" s="209">
        <f t="shared" si="17"/>
        <v>26.8</v>
      </c>
      <c r="G1103" s="208"/>
      <c r="H1103" s="208"/>
    </row>
    <row r="1104" spans="1:8" ht="15.75" customHeight="1" x14ac:dyDescent="0.25">
      <c r="A1104" s="212" t="s">
        <v>2018</v>
      </c>
      <c r="B1104" s="207" t="s">
        <v>2002</v>
      </c>
      <c r="C1104" s="208"/>
      <c r="D1104" s="209">
        <v>53</v>
      </c>
      <c r="E1104" s="208">
        <v>0</v>
      </c>
      <c r="F1104" s="209">
        <f t="shared" si="17"/>
        <v>0</v>
      </c>
      <c r="G1104" s="208"/>
      <c r="H1104" s="208"/>
    </row>
    <row r="1105" spans="1:12" ht="15.75" customHeight="1" x14ac:dyDescent="0.25">
      <c r="A1105" s="212" t="s">
        <v>2019</v>
      </c>
      <c r="B1105" s="208"/>
      <c r="C1105" s="208"/>
      <c r="D1105" s="209">
        <v>28.9</v>
      </c>
      <c r="E1105" s="208">
        <v>0.5</v>
      </c>
      <c r="F1105" s="209">
        <f t="shared" si="17"/>
        <v>14.45</v>
      </c>
      <c r="G1105" s="208"/>
      <c r="H1105" s="208"/>
    </row>
    <row r="1106" spans="1:12" ht="15.75" customHeight="1" x14ac:dyDescent="0.25">
      <c r="A1106" s="212" t="s">
        <v>2020</v>
      </c>
      <c r="B1106" s="207" t="s">
        <v>2002</v>
      </c>
      <c r="C1106" s="208"/>
      <c r="D1106" s="209">
        <v>17.7</v>
      </c>
      <c r="E1106" s="208">
        <v>1</v>
      </c>
      <c r="F1106" s="209">
        <f t="shared" si="17"/>
        <v>17.7</v>
      </c>
      <c r="G1106" s="208"/>
      <c r="H1106" s="208"/>
    </row>
    <row r="1107" spans="1:12" ht="13.5" customHeight="1" x14ac:dyDescent="0.25">
      <c r="A1107" s="212" t="s">
        <v>2021</v>
      </c>
      <c r="B1107" s="207" t="s">
        <v>2002</v>
      </c>
      <c r="C1107" s="208"/>
      <c r="D1107" s="209">
        <v>17.7</v>
      </c>
      <c r="E1107" s="208">
        <v>1</v>
      </c>
      <c r="F1107" s="209">
        <f t="shared" si="17"/>
        <v>17.7</v>
      </c>
      <c r="G1107" s="208"/>
      <c r="H1107" s="208"/>
    </row>
    <row r="1108" spans="1:12" ht="13.5" customHeight="1" x14ac:dyDescent="0.25">
      <c r="A1108" s="212" t="s">
        <v>2022</v>
      </c>
      <c r="B1108" s="208"/>
      <c r="C1108" s="208"/>
      <c r="D1108" s="209">
        <v>17</v>
      </c>
      <c r="E1108" s="208">
        <v>1.2</v>
      </c>
      <c r="F1108" s="209">
        <f t="shared" si="17"/>
        <v>20.399999999999999</v>
      </c>
      <c r="G1108" s="208"/>
      <c r="H1108" s="208"/>
    </row>
    <row r="1109" spans="1:12" ht="15.75" customHeight="1" x14ac:dyDescent="0.25">
      <c r="A1109" s="207" t="s">
        <v>1931</v>
      </c>
      <c r="B1109" s="207" t="s">
        <v>2002</v>
      </c>
      <c r="C1109" s="208"/>
      <c r="D1109" s="209">
        <v>39.549999999999997</v>
      </c>
      <c r="E1109" s="208">
        <v>0.8</v>
      </c>
      <c r="F1109" s="209">
        <f t="shared" si="17"/>
        <v>31.64</v>
      </c>
      <c r="G1109" s="208"/>
      <c r="H1109" s="208"/>
    </row>
    <row r="1110" spans="1:12" ht="15.75" customHeight="1" x14ac:dyDescent="0.25">
      <c r="A1110" s="207" t="s">
        <v>2023</v>
      </c>
      <c r="B1110" s="207" t="s">
        <v>2002</v>
      </c>
      <c r="C1110" s="208"/>
      <c r="D1110" s="209">
        <v>99.6</v>
      </c>
      <c r="E1110" s="208">
        <v>0.5</v>
      </c>
      <c r="F1110" s="209">
        <f t="shared" si="17"/>
        <v>49.8</v>
      </c>
      <c r="G1110" s="208"/>
      <c r="H1110" s="208"/>
    </row>
    <row r="1111" spans="1:12" ht="15.75" customHeight="1" x14ac:dyDescent="0.25">
      <c r="A1111" s="212" t="s">
        <v>2024</v>
      </c>
      <c r="B1111" s="207" t="s">
        <v>2002</v>
      </c>
      <c r="C1111" s="208"/>
      <c r="D1111" s="209">
        <v>59.9</v>
      </c>
      <c r="E1111" s="208"/>
      <c r="F1111" s="209">
        <f t="shared" si="17"/>
        <v>0</v>
      </c>
      <c r="G1111" s="208"/>
      <c r="H1111" s="208"/>
      <c r="K1111" s="203">
        <v>99.9</v>
      </c>
    </row>
    <row r="1112" spans="1:12" ht="15.75" customHeight="1" x14ac:dyDescent="0.25">
      <c r="A1112" s="212" t="s">
        <v>2025</v>
      </c>
      <c r="B1112" s="208"/>
      <c r="C1112" s="208"/>
      <c r="D1112" s="209">
        <v>93.3</v>
      </c>
      <c r="E1112" s="208">
        <v>0</v>
      </c>
      <c r="F1112" s="209">
        <f t="shared" si="17"/>
        <v>0</v>
      </c>
      <c r="G1112" s="208"/>
      <c r="H1112" s="208"/>
    </row>
    <row r="1113" spans="1:12" ht="15.75" customHeight="1" x14ac:dyDescent="0.25">
      <c r="A1113" s="212" t="s">
        <v>2026</v>
      </c>
      <c r="B1113" s="207" t="s">
        <v>2002</v>
      </c>
      <c r="C1113" s="208"/>
      <c r="D1113" s="209">
        <v>99.9</v>
      </c>
      <c r="E1113" s="208">
        <v>1</v>
      </c>
      <c r="F1113" s="209">
        <f t="shared" si="17"/>
        <v>99.9</v>
      </c>
      <c r="G1113" s="208"/>
      <c r="H1113" s="208"/>
      <c r="K1113" s="203">
        <v>93.3</v>
      </c>
      <c r="L1113" s="203">
        <v>288</v>
      </c>
    </row>
    <row r="1114" spans="1:12" ht="15.75" customHeight="1" x14ac:dyDescent="0.25">
      <c r="A1114" s="212" t="s">
        <v>2027</v>
      </c>
      <c r="B1114" s="207" t="s">
        <v>2002</v>
      </c>
      <c r="C1114" s="208"/>
      <c r="D1114" s="209">
        <v>99.9</v>
      </c>
      <c r="E1114" s="208">
        <v>2</v>
      </c>
      <c r="F1114" s="209">
        <f t="shared" si="17"/>
        <v>199.8</v>
      </c>
      <c r="G1114" s="208"/>
      <c r="H1114" s="208"/>
    </row>
    <row r="1115" spans="1:12" ht="13.5" customHeight="1" x14ac:dyDescent="0.25">
      <c r="A1115" s="212" t="s">
        <v>2028</v>
      </c>
      <c r="B1115" s="208"/>
      <c r="C1115" s="207" t="s">
        <v>2029</v>
      </c>
      <c r="D1115" s="209">
        <v>89.9</v>
      </c>
      <c r="E1115" s="208">
        <v>0.2</v>
      </c>
      <c r="F1115" s="209">
        <f t="shared" si="17"/>
        <v>17.98</v>
      </c>
      <c r="G1115" s="208"/>
      <c r="H1115" s="208"/>
      <c r="K1115" s="203">
        <f>K1113/L1113</f>
        <v>0.32395833333333335</v>
      </c>
    </row>
    <row r="1116" spans="1:12" ht="15.75" customHeight="1" x14ac:dyDescent="0.25">
      <c r="A1116" s="212" t="s">
        <v>2030</v>
      </c>
      <c r="B1116" s="208"/>
      <c r="C1116" s="208"/>
      <c r="D1116" s="209">
        <v>61.5</v>
      </c>
      <c r="E1116" s="208">
        <v>0</v>
      </c>
      <c r="F1116" s="209">
        <f t="shared" si="17"/>
        <v>0</v>
      </c>
      <c r="G1116" s="208"/>
      <c r="H1116" s="208"/>
    </row>
    <row r="1117" spans="1:12" ht="15.75" customHeight="1" x14ac:dyDescent="0.25">
      <c r="A1117" s="207" t="s">
        <v>2031</v>
      </c>
      <c r="B1117" s="207" t="s">
        <v>2002</v>
      </c>
      <c r="C1117" s="208"/>
      <c r="D1117" s="209">
        <v>93.3</v>
      </c>
      <c r="E1117" s="208">
        <v>0</v>
      </c>
      <c r="F1117" s="209">
        <f t="shared" si="17"/>
        <v>0</v>
      </c>
      <c r="G1117" s="208"/>
      <c r="H1117" s="208"/>
    </row>
    <row r="1118" spans="1:12" ht="15.75" customHeight="1" x14ac:dyDescent="0.25">
      <c r="A1118" s="212" t="s">
        <v>2032</v>
      </c>
      <c r="B1118" s="207" t="s">
        <v>2002</v>
      </c>
      <c r="C1118" s="208"/>
      <c r="D1118" s="209">
        <v>23.92</v>
      </c>
      <c r="E1118" s="208">
        <v>3</v>
      </c>
      <c r="F1118" s="209">
        <f t="shared" si="17"/>
        <v>71.760000000000005</v>
      </c>
      <c r="G1118" s="208"/>
      <c r="H1118" s="208"/>
    </row>
    <row r="1119" spans="1:12" ht="15.75" customHeight="1" x14ac:dyDescent="0.25">
      <c r="A1119" s="212" t="s">
        <v>2033</v>
      </c>
      <c r="B1119" s="207" t="s">
        <v>2002</v>
      </c>
      <c r="C1119" s="208">
        <v>1</v>
      </c>
      <c r="D1119" s="209">
        <v>42.4</v>
      </c>
      <c r="E1119" s="208">
        <v>1</v>
      </c>
      <c r="F1119" s="209">
        <f t="shared" si="17"/>
        <v>42.4</v>
      </c>
      <c r="G1119" s="208"/>
      <c r="H1119" s="208"/>
    </row>
    <row r="1120" spans="1:12" ht="15.75" customHeight="1" x14ac:dyDescent="0.25">
      <c r="A1120" s="212" t="s">
        <v>2034</v>
      </c>
      <c r="B1120" s="207" t="s">
        <v>2002</v>
      </c>
      <c r="C1120" s="208">
        <v>2</v>
      </c>
      <c r="D1120" s="209">
        <v>36</v>
      </c>
      <c r="E1120" s="208">
        <v>0.7</v>
      </c>
      <c r="F1120" s="209">
        <f t="shared" si="17"/>
        <v>25.2</v>
      </c>
      <c r="G1120" s="208"/>
      <c r="H1120" s="208"/>
    </row>
    <row r="1121" spans="1:8" ht="15.75" customHeight="1" x14ac:dyDescent="0.25">
      <c r="A1121" s="212" t="s">
        <v>2035</v>
      </c>
      <c r="B1121" s="207" t="s">
        <v>2002</v>
      </c>
      <c r="C1121" s="208">
        <v>2</v>
      </c>
      <c r="D1121" s="209">
        <v>27.75</v>
      </c>
      <c r="E1121" s="208">
        <v>0.5</v>
      </c>
      <c r="F1121" s="209">
        <f t="shared" si="17"/>
        <v>13.875</v>
      </c>
      <c r="G1121" s="208"/>
      <c r="H1121" s="208"/>
    </row>
    <row r="1122" spans="1:8" ht="15.75" customHeight="1" x14ac:dyDescent="0.25">
      <c r="A1122" s="212" t="s">
        <v>2036</v>
      </c>
      <c r="B1122" s="207" t="s">
        <v>2002</v>
      </c>
      <c r="C1122" s="208"/>
      <c r="D1122" s="209">
        <v>25.88</v>
      </c>
      <c r="E1122" s="208">
        <v>1.3</v>
      </c>
      <c r="F1122" s="209">
        <f t="shared" si="17"/>
        <v>33.643999999999998</v>
      </c>
      <c r="G1122" s="208"/>
      <c r="H1122" s="208"/>
    </row>
    <row r="1123" spans="1:8" ht="15.75" customHeight="1" x14ac:dyDescent="0.25">
      <c r="A1123" s="212" t="s">
        <v>2037</v>
      </c>
      <c r="B1123" s="207" t="s">
        <v>2002</v>
      </c>
      <c r="C1123" s="208">
        <v>0.5</v>
      </c>
      <c r="D1123" s="209">
        <v>10</v>
      </c>
      <c r="E1123" s="208"/>
      <c r="F1123" s="209">
        <f t="shared" si="17"/>
        <v>0</v>
      </c>
      <c r="G1123" s="207" t="s">
        <v>917</v>
      </c>
      <c r="H1123" s="208"/>
    </row>
    <row r="1124" spans="1:8" ht="15.75" customHeight="1" x14ac:dyDescent="0.25">
      <c r="A1124" s="212" t="s">
        <v>2038</v>
      </c>
      <c r="B1124" s="208"/>
      <c r="C1124" s="208">
        <v>2</v>
      </c>
      <c r="D1124" s="209">
        <v>29.03</v>
      </c>
      <c r="E1124" s="208">
        <v>0</v>
      </c>
      <c r="F1124" s="209">
        <f t="shared" si="17"/>
        <v>0</v>
      </c>
      <c r="G1124" s="207" t="s">
        <v>917</v>
      </c>
      <c r="H1124" s="208"/>
    </row>
    <row r="1125" spans="1:8" ht="15.75" customHeight="1" x14ac:dyDescent="0.25">
      <c r="A1125" s="212" t="s">
        <v>2039</v>
      </c>
      <c r="B1125" s="208"/>
      <c r="C1125" s="208">
        <v>5</v>
      </c>
      <c r="D1125" s="209">
        <v>55</v>
      </c>
      <c r="E1125" s="208">
        <v>0.7</v>
      </c>
      <c r="F1125" s="209">
        <f t="shared" si="17"/>
        <v>38.5</v>
      </c>
      <c r="G1125" s="208" t="s">
        <v>767</v>
      </c>
      <c r="H1125" s="208"/>
    </row>
    <row r="1126" spans="1:8" ht="15.75" customHeight="1" x14ac:dyDescent="0.25">
      <c r="A1126" s="212" t="s">
        <v>2040</v>
      </c>
      <c r="B1126" s="208"/>
      <c r="C1126" s="208"/>
      <c r="D1126" s="209">
        <v>50</v>
      </c>
      <c r="E1126" s="208">
        <v>0.9</v>
      </c>
      <c r="F1126" s="209">
        <f t="shared" si="17"/>
        <v>45</v>
      </c>
      <c r="G1126" s="211" t="s">
        <v>767</v>
      </c>
      <c r="H1126" s="208"/>
    </row>
    <row r="1127" spans="1:8" ht="15.75" customHeight="1" x14ac:dyDescent="0.25">
      <c r="A1127" s="212" t="s">
        <v>2041</v>
      </c>
      <c r="B1127" s="208"/>
      <c r="C1127" s="208">
        <v>0.5</v>
      </c>
      <c r="D1127" s="209">
        <v>15</v>
      </c>
      <c r="E1127" s="208">
        <v>1</v>
      </c>
      <c r="F1127" s="209">
        <f t="shared" si="17"/>
        <v>15</v>
      </c>
      <c r="G1127" s="208"/>
      <c r="H1127" s="208"/>
    </row>
    <row r="1128" spans="1:8" ht="15.75" customHeight="1" x14ac:dyDescent="0.25">
      <c r="A1128" s="212" t="s">
        <v>2042</v>
      </c>
      <c r="B1128" s="208"/>
      <c r="C1128" s="207" t="s">
        <v>2043</v>
      </c>
      <c r="D1128" s="209">
        <v>42</v>
      </c>
      <c r="E1128" s="208">
        <v>1</v>
      </c>
      <c r="F1128" s="209">
        <f t="shared" ref="F1128:F1191" si="18">D1128:D1128*E1128:E1128</f>
        <v>42</v>
      </c>
      <c r="G1128" s="208"/>
      <c r="H1128" s="208"/>
    </row>
    <row r="1129" spans="1:8" ht="15.75" customHeight="1" x14ac:dyDescent="0.25">
      <c r="A1129" s="212" t="s">
        <v>2044</v>
      </c>
      <c r="B1129" s="208"/>
      <c r="C1129" s="208"/>
      <c r="D1129" s="209">
        <v>9.5</v>
      </c>
      <c r="E1129" s="208">
        <v>1</v>
      </c>
      <c r="F1129" s="209">
        <f t="shared" si="18"/>
        <v>9.5</v>
      </c>
      <c r="G1129" s="208"/>
      <c r="H1129" s="208"/>
    </row>
    <row r="1130" spans="1:8" ht="15.75" customHeight="1" x14ac:dyDescent="0.25">
      <c r="A1130" s="212" t="s">
        <v>2045</v>
      </c>
      <c r="B1130" s="207" t="s">
        <v>2002</v>
      </c>
      <c r="C1130" s="208">
        <v>0.15</v>
      </c>
      <c r="D1130" s="209">
        <v>27.3</v>
      </c>
      <c r="E1130" s="208"/>
      <c r="F1130" s="209">
        <f t="shared" si="18"/>
        <v>0</v>
      </c>
      <c r="G1130" s="208"/>
      <c r="H1130" s="208"/>
    </row>
    <row r="1131" spans="1:8" ht="15.75" customHeight="1" x14ac:dyDescent="0.25">
      <c r="A1131" s="212" t="s">
        <v>2046</v>
      </c>
      <c r="B1131" s="207" t="s">
        <v>2002</v>
      </c>
      <c r="C1131" s="208">
        <v>0.2</v>
      </c>
      <c r="D1131" s="209">
        <v>35.25</v>
      </c>
      <c r="E1131" s="208"/>
      <c r="F1131" s="209">
        <f t="shared" si="18"/>
        <v>0</v>
      </c>
      <c r="G1131" s="208"/>
      <c r="H1131" s="208"/>
    </row>
    <row r="1132" spans="1:8" ht="15.75" customHeight="1" x14ac:dyDescent="0.25">
      <c r="A1132" s="212" t="s">
        <v>2047</v>
      </c>
      <c r="B1132" s="207" t="s">
        <v>2002</v>
      </c>
      <c r="C1132" s="208">
        <v>0.2</v>
      </c>
      <c r="D1132" s="209">
        <v>38.5</v>
      </c>
      <c r="E1132" s="208"/>
      <c r="F1132" s="209">
        <f t="shared" si="18"/>
        <v>0</v>
      </c>
      <c r="G1132" s="208"/>
      <c r="H1132" s="208"/>
    </row>
    <row r="1133" spans="1:8" ht="15.75" customHeight="1" x14ac:dyDescent="0.25">
      <c r="A1133" s="212" t="s">
        <v>2048</v>
      </c>
      <c r="B1133" s="207" t="s">
        <v>2002</v>
      </c>
      <c r="C1133" s="208"/>
      <c r="D1133" s="209">
        <v>185</v>
      </c>
      <c r="E1133" s="208"/>
      <c r="F1133" s="209">
        <f t="shared" si="18"/>
        <v>0</v>
      </c>
      <c r="G1133" s="208"/>
      <c r="H1133" s="208"/>
    </row>
    <row r="1134" spans="1:8" ht="15.75" customHeight="1" x14ac:dyDescent="0.25">
      <c r="A1134" s="212" t="s">
        <v>2049</v>
      </c>
      <c r="B1134" s="207" t="s">
        <v>2002</v>
      </c>
      <c r="C1134" s="208">
        <v>5</v>
      </c>
      <c r="D1134" s="209">
        <v>104.5</v>
      </c>
      <c r="E1134" s="208"/>
      <c r="F1134" s="209">
        <f t="shared" si="18"/>
        <v>0</v>
      </c>
      <c r="G1134" s="208"/>
      <c r="H1134" s="208"/>
    </row>
    <row r="1135" spans="1:8" ht="15.75" customHeight="1" x14ac:dyDescent="0.25">
      <c r="A1135" s="212" t="s">
        <v>2050</v>
      </c>
      <c r="B1135" s="207" t="s">
        <v>2002</v>
      </c>
      <c r="C1135" s="208">
        <v>5</v>
      </c>
      <c r="D1135" s="209">
        <v>107.5</v>
      </c>
      <c r="E1135" s="208"/>
      <c r="F1135" s="209">
        <f t="shared" si="18"/>
        <v>0</v>
      </c>
      <c r="G1135" s="208"/>
      <c r="H1135" s="208"/>
    </row>
    <row r="1136" spans="1:8" ht="15.75" customHeight="1" x14ac:dyDescent="0.25">
      <c r="A1136" s="212" t="s">
        <v>2051</v>
      </c>
      <c r="B1136" s="207" t="s">
        <v>2002</v>
      </c>
      <c r="C1136" s="208">
        <v>5</v>
      </c>
      <c r="D1136" s="209">
        <v>94.5</v>
      </c>
      <c r="E1136" s="208"/>
      <c r="F1136" s="209">
        <f t="shared" si="18"/>
        <v>0</v>
      </c>
      <c r="G1136" s="208"/>
      <c r="H1136" s="208"/>
    </row>
    <row r="1137" spans="1:8" ht="15.75" customHeight="1" x14ac:dyDescent="0.25">
      <c r="A1137" s="212" t="s">
        <v>2052</v>
      </c>
      <c r="B1137" s="207" t="s">
        <v>2002</v>
      </c>
      <c r="C1137" s="208"/>
      <c r="D1137" s="209">
        <v>172.5</v>
      </c>
      <c r="E1137" s="208">
        <v>0.5</v>
      </c>
      <c r="F1137" s="209">
        <f t="shared" si="18"/>
        <v>86.25</v>
      </c>
      <c r="G1137" s="208"/>
      <c r="H1137" s="208"/>
    </row>
    <row r="1138" spans="1:8" ht="15.75" customHeight="1" x14ac:dyDescent="0.25">
      <c r="A1138" s="212" t="s">
        <v>2053</v>
      </c>
      <c r="B1138" s="207" t="s">
        <v>2002</v>
      </c>
      <c r="C1138" s="208"/>
      <c r="D1138" s="209">
        <v>114.5</v>
      </c>
      <c r="E1138" s="208">
        <v>1</v>
      </c>
      <c r="F1138" s="209">
        <f t="shared" si="18"/>
        <v>114.5</v>
      </c>
      <c r="G1138" s="208"/>
      <c r="H1138" s="208"/>
    </row>
    <row r="1139" spans="1:8" ht="15.75" customHeight="1" x14ac:dyDescent="0.25">
      <c r="A1139" s="212" t="s">
        <v>2054</v>
      </c>
      <c r="B1139" s="207" t="s">
        <v>2002</v>
      </c>
      <c r="C1139" s="208"/>
      <c r="D1139" s="209">
        <v>99.9</v>
      </c>
      <c r="E1139" s="208"/>
      <c r="F1139" s="209">
        <f t="shared" si="18"/>
        <v>0</v>
      </c>
      <c r="G1139" s="208"/>
      <c r="H1139" s="208"/>
    </row>
    <row r="1140" spans="1:8" ht="15.75" customHeight="1" x14ac:dyDescent="0.25">
      <c r="A1140" s="212" t="s">
        <v>2055</v>
      </c>
      <c r="B1140" s="208"/>
      <c r="C1140" s="208"/>
      <c r="D1140" s="209">
        <v>29</v>
      </c>
      <c r="E1140" s="208"/>
      <c r="F1140" s="209">
        <f t="shared" si="18"/>
        <v>0</v>
      </c>
      <c r="G1140" s="208"/>
      <c r="H1140" s="208"/>
    </row>
    <row r="1141" spans="1:8" ht="15.75" customHeight="1" x14ac:dyDescent="0.25">
      <c r="A1141" s="212" t="s">
        <v>2056</v>
      </c>
      <c r="B1141" s="207" t="s">
        <v>2002</v>
      </c>
      <c r="C1141" s="208"/>
      <c r="D1141" s="209">
        <v>117</v>
      </c>
      <c r="E1141" s="208"/>
      <c r="F1141" s="209">
        <f t="shared" si="18"/>
        <v>0</v>
      </c>
      <c r="G1141" s="208"/>
      <c r="H1141" s="208"/>
    </row>
    <row r="1142" spans="1:8" ht="15.75" customHeight="1" x14ac:dyDescent="0.25">
      <c r="A1142" s="212" t="s">
        <v>2057</v>
      </c>
      <c r="B1142" s="207" t="s">
        <v>2002</v>
      </c>
      <c r="C1142" s="208"/>
      <c r="D1142" s="209">
        <v>23.4</v>
      </c>
      <c r="E1142" s="208"/>
      <c r="F1142" s="209">
        <f t="shared" si="18"/>
        <v>0</v>
      </c>
      <c r="G1142" s="208"/>
      <c r="H1142" s="208"/>
    </row>
    <row r="1143" spans="1:8" ht="15.75" customHeight="1" x14ac:dyDescent="0.25">
      <c r="A1143" s="212" t="s">
        <v>2058</v>
      </c>
      <c r="B1143" s="207" t="s">
        <v>2002</v>
      </c>
      <c r="C1143" s="208"/>
      <c r="D1143" s="209">
        <v>2.85</v>
      </c>
      <c r="E1143" s="208"/>
      <c r="F1143" s="209">
        <f t="shared" si="18"/>
        <v>0</v>
      </c>
      <c r="G1143" s="208"/>
      <c r="H1143" s="208"/>
    </row>
    <row r="1144" spans="1:8" ht="15.75" customHeight="1" x14ac:dyDescent="0.25">
      <c r="A1144" s="212" t="s">
        <v>2059</v>
      </c>
      <c r="B1144" s="208"/>
      <c r="C1144" s="208"/>
      <c r="D1144" s="209">
        <v>35.799999999999997</v>
      </c>
      <c r="E1144" s="208"/>
      <c r="F1144" s="209">
        <f t="shared" si="18"/>
        <v>0</v>
      </c>
      <c r="G1144" s="208"/>
      <c r="H1144" s="208"/>
    </row>
    <row r="1145" spans="1:8" ht="15.75" customHeight="1" x14ac:dyDescent="0.25">
      <c r="A1145" s="212" t="s">
        <v>2060</v>
      </c>
      <c r="B1145" s="208"/>
      <c r="C1145" s="208"/>
      <c r="D1145" s="209">
        <v>70</v>
      </c>
      <c r="E1145" s="208">
        <v>1.6</v>
      </c>
      <c r="F1145" s="209">
        <f t="shared" si="18"/>
        <v>112</v>
      </c>
      <c r="G1145" s="229" t="s">
        <v>809</v>
      </c>
      <c r="H1145" s="208"/>
    </row>
    <row r="1146" spans="1:8" ht="15.75" customHeight="1" x14ac:dyDescent="0.25">
      <c r="A1146" s="212" t="s">
        <v>2061</v>
      </c>
      <c r="B1146" s="208"/>
      <c r="C1146" s="208"/>
      <c r="D1146" s="209">
        <v>18.75</v>
      </c>
      <c r="E1146" s="208"/>
      <c r="F1146" s="209">
        <f t="shared" si="18"/>
        <v>0</v>
      </c>
      <c r="G1146" s="229"/>
      <c r="H1146" s="208"/>
    </row>
    <row r="1147" spans="1:8" ht="15.75" customHeight="1" x14ac:dyDescent="0.25">
      <c r="A1147" s="212" t="s">
        <v>2062</v>
      </c>
      <c r="B1147" s="207" t="s">
        <v>2002</v>
      </c>
      <c r="C1147" s="208">
        <v>1</v>
      </c>
      <c r="D1147" s="209">
        <v>18.5</v>
      </c>
      <c r="E1147" s="208">
        <v>1</v>
      </c>
      <c r="F1147" s="209">
        <f t="shared" si="18"/>
        <v>18.5</v>
      </c>
      <c r="G1147" s="229"/>
      <c r="H1147" s="208"/>
    </row>
    <row r="1148" spans="1:8" ht="15.75" customHeight="1" x14ac:dyDescent="0.25">
      <c r="A1148" s="212" t="s">
        <v>2063</v>
      </c>
      <c r="B1148" s="207" t="s">
        <v>2002</v>
      </c>
      <c r="C1148" s="208"/>
      <c r="D1148" s="209">
        <v>12.1</v>
      </c>
      <c r="E1148" s="208">
        <v>2</v>
      </c>
      <c r="F1148" s="209">
        <f t="shared" si="18"/>
        <v>24.2</v>
      </c>
      <c r="G1148" s="229"/>
      <c r="H1148" s="208"/>
    </row>
    <row r="1149" spans="1:8" ht="15.75" customHeight="1" x14ac:dyDescent="0.25">
      <c r="A1149" s="212" t="s">
        <v>2064</v>
      </c>
      <c r="B1149" s="207" t="s">
        <v>2002</v>
      </c>
      <c r="C1149" s="208"/>
      <c r="D1149" s="209">
        <v>11.8</v>
      </c>
      <c r="E1149" s="208"/>
      <c r="F1149" s="209">
        <f t="shared" si="18"/>
        <v>0</v>
      </c>
      <c r="G1149" s="229"/>
      <c r="H1149" s="208"/>
    </row>
    <row r="1150" spans="1:8" ht="15.75" customHeight="1" x14ac:dyDescent="0.25">
      <c r="A1150" s="212" t="s">
        <v>2065</v>
      </c>
      <c r="B1150" s="208"/>
      <c r="C1150" s="208"/>
      <c r="D1150" s="209">
        <v>16.2</v>
      </c>
      <c r="E1150" s="208">
        <v>3</v>
      </c>
      <c r="F1150" s="209">
        <f t="shared" si="18"/>
        <v>48.599999999999994</v>
      </c>
      <c r="G1150" s="229"/>
      <c r="H1150" s="208"/>
    </row>
    <row r="1151" spans="1:8" ht="15.75" customHeight="1" x14ac:dyDescent="0.25">
      <c r="A1151" s="212" t="s">
        <v>2066</v>
      </c>
      <c r="B1151" s="208"/>
      <c r="C1151" s="208"/>
      <c r="D1151" s="209">
        <v>14</v>
      </c>
      <c r="E1151" s="208"/>
      <c r="F1151" s="209">
        <f t="shared" si="18"/>
        <v>0</v>
      </c>
      <c r="G1151" s="229"/>
      <c r="H1151" s="208"/>
    </row>
    <row r="1152" spans="1:8" ht="15.75" customHeight="1" x14ac:dyDescent="0.25">
      <c r="A1152" s="212" t="s">
        <v>2067</v>
      </c>
      <c r="B1152" s="208"/>
      <c r="C1152" s="208"/>
      <c r="D1152" s="209">
        <v>35.049999999999997</v>
      </c>
      <c r="E1152" s="208">
        <v>1</v>
      </c>
      <c r="F1152" s="209">
        <f t="shared" si="18"/>
        <v>35.049999999999997</v>
      </c>
      <c r="G1152" s="229"/>
      <c r="H1152" s="208"/>
    </row>
    <row r="1153" spans="1:8" ht="15.75" customHeight="1" x14ac:dyDescent="0.25">
      <c r="A1153" s="212" t="s">
        <v>2068</v>
      </c>
      <c r="B1153" s="207" t="s">
        <v>2002</v>
      </c>
      <c r="C1153" s="208">
        <v>1</v>
      </c>
      <c r="D1153" s="209">
        <v>9.1999999999999993</v>
      </c>
      <c r="E1153" s="208">
        <v>2</v>
      </c>
      <c r="F1153" s="209">
        <f t="shared" si="18"/>
        <v>18.399999999999999</v>
      </c>
      <c r="G1153" s="229"/>
      <c r="H1153" s="208"/>
    </row>
    <row r="1154" spans="1:8" ht="15.75" customHeight="1" x14ac:dyDescent="0.25">
      <c r="A1154" s="212" t="s">
        <v>2069</v>
      </c>
      <c r="B1154" s="207" t="s">
        <v>2002</v>
      </c>
      <c r="C1154" s="208">
        <v>1</v>
      </c>
      <c r="D1154" s="209">
        <v>14</v>
      </c>
      <c r="E1154" s="208">
        <v>1</v>
      </c>
      <c r="F1154" s="209">
        <f t="shared" si="18"/>
        <v>14</v>
      </c>
      <c r="G1154" s="229"/>
      <c r="H1154" s="208"/>
    </row>
    <row r="1155" spans="1:8" ht="15.75" customHeight="1" x14ac:dyDescent="0.25">
      <c r="A1155" s="212" t="s">
        <v>2070</v>
      </c>
      <c r="B1155" s="207" t="s">
        <v>2002</v>
      </c>
      <c r="C1155" s="208">
        <v>1</v>
      </c>
      <c r="D1155" s="209">
        <v>12.5</v>
      </c>
      <c r="E1155" s="208"/>
      <c r="F1155" s="209">
        <f t="shared" si="18"/>
        <v>0</v>
      </c>
      <c r="G1155" s="229"/>
      <c r="H1155" s="208"/>
    </row>
    <row r="1156" spans="1:8" ht="15.75" customHeight="1" x14ac:dyDescent="0.25">
      <c r="A1156" s="212" t="s">
        <v>2071</v>
      </c>
      <c r="B1156" s="208"/>
      <c r="C1156" s="208"/>
      <c r="D1156" s="209">
        <v>17.100000000000001</v>
      </c>
      <c r="E1156" s="208">
        <v>0.8</v>
      </c>
      <c r="F1156" s="209">
        <f t="shared" si="18"/>
        <v>13.680000000000001</v>
      </c>
      <c r="G1156" s="229"/>
      <c r="H1156" s="208"/>
    </row>
    <row r="1157" spans="1:8" ht="15.75" customHeight="1" x14ac:dyDescent="0.25">
      <c r="A1157" s="212" t="s">
        <v>2072</v>
      </c>
      <c r="B1157" s="208"/>
      <c r="C1157" s="208"/>
      <c r="D1157" s="209">
        <v>15.4</v>
      </c>
      <c r="E1157" s="208">
        <v>1</v>
      </c>
      <c r="F1157" s="209">
        <f t="shared" si="18"/>
        <v>15.4</v>
      </c>
      <c r="G1157" s="229" t="s">
        <v>778</v>
      </c>
      <c r="H1157" s="208"/>
    </row>
    <row r="1158" spans="1:8" ht="15.75" customHeight="1" x14ac:dyDescent="0.25">
      <c r="A1158" s="212" t="s">
        <v>2073</v>
      </c>
      <c r="B1158" s="208"/>
      <c r="C1158" s="208"/>
      <c r="D1158" s="209">
        <v>14.75</v>
      </c>
      <c r="E1158" s="208"/>
      <c r="F1158" s="209">
        <f t="shared" si="18"/>
        <v>0</v>
      </c>
      <c r="G1158" s="208"/>
      <c r="H1158" s="208"/>
    </row>
    <row r="1159" spans="1:8" ht="15.75" customHeight="1" x14ac:dyDescent="0.25">
      <c r="A1159" s="212" t="s">
        <v>2074</v>
      </c>
      <c r="B1159" s="208"/>
      <c r="C1159" s="208"/>
      <c r="D1159" s="209">
        <v>13</v>
      </c>
      <c r="E1159" s="208">
        <v>5</v>
      </c>
      <c r="F1159" s="209">
        <f t="shared" si="18"/>
        <v>65</v>
      </c>
      <c r="G1159" s="208"/>
      <c r="H1159" s="208"/>
    </row>
    <row r="1160" spans="1:8" ht="15.75" customHeight="1" x14ac:dyDescent="0.25">
      <c r="A1160" s="212" t="s">
        <v>2075</v>
      </c>
      <c r="B1160" s="208"/>
      <c r="C1160" s="208"/>
      <c r="D1160" s="209">
        <v>12.5</v>
      </c>
      <c r="E1160" s="208">
        <v>0.2</v>
      </c>
      <c r="F1160" s="209">
        <f t="shared" si="18"/>
        <v>2.5</v>
      </c>
      <c r="G1160" s="208"/>
      <c r="H1160" s="208"/>
    </row>
    <row r="1161" spans="1:8" ht="15.75" customHeight="1" x14ac:dyDescent="0.25">
      <c r="A1161" s="212" t="s">
        <v>2076</v>
      </c>
      <c r="B1161" s="208"/>
      <c r="C1161" s="208"/>
      <c r="D1161" s="209">
        <v>15.3</v>
      </c>
      <c r="E1161" s="208">
        <v>1.2</v>
      </c>
      <c r="F1161" s="209">
        <f t="shared" si="18"/>
        <v>18.36</v>
      </c>
      <c r="G1161" s="208"/>
      <c r="H1161" s="208"/>
    </row>
    <row r="1162" spans="1:8" ht="15.75" customHeight="1" x14ac:dyDescent="0.25">
      <c r="A1162" s="212" t="s">
        <v>2077</v>
      </c>
      <c r="B1162" s="208"/>
      <c r="C1162" s="208"/>
      <c r="D1162" s="209">
        <v>9.5</v>
      </c>
      <c r="E1162" s="208"/>
      <c r="F1162" s="209">
        <f t="shared" si="18"/>
        <v>0</v>
      </c>
      <c r="G1162" s="208"/>
      <c r="H1162" s="208"/>
    </row>
    <row r="1163" spans="1:8" ht="15.75" customHeight="1" x14ac:dyDescent="0.25">
      <c r="A1163" s="212" t="s">
        <v>2078</v>
      </c>
      <c r="B1163" s="208"/>
      <c r="C1163" s="208">
        <v>0.5</v>
      </c>
      <c r="D1163" s="209">
        <v>13.5</v>
      </c>
      <c r="E1163" s="210"/>
      <c r="F1163" s="209">
        <f t="shared" si="18"/>
        <v>0</v>
      </c>
      <c r="G1163" s="208"/>
      <c r="H1163" s="208"/>
    </row>
    <row r="1164" spans="1:8" ht="15.75" customHeight="1" x14ac:dyDescent="0.25">
      <c r="A1164" s="212" t="s">
        <v>2079</v>
      </c>
      <c r="B1164" s="208"/>
      <c r="C1164" s="208"/>
      <c r="D1164" s="209">
        <v>54.75</v>
      </c>
      <c r="E1164" s="210">
        <v>1</v>
      </c>
      <c r="F1164" s="209">
        <f t="shared" si="18"/>
        <v>54.75</v>
      </c>
      <c r="G1164" s="208"/>
      <c r="H1164" s="208"/>
    </row>
    <row r="1165" spans="1:8" ht="15.75" customHeight="1" x14ac:dyDescent="0.25">
      <c r="A1165" s="212" t="s">
        <v>2080</v>
      </c>
      <c r="B1165" s="208"/>
      <c r="C1165" s="208"/>
      <c r="D1165" s="209">
        <v>55</v>
      </c>
      <c r="E1165" s="210">
        <v>0.4</v>
      </c>
      <c r="F1165" s="209">
        <f t="shared" si="18"/>
        <v>22</v>
      </c>
      <c r="G1165" s="208"/>
      <c r="H1165" s="208"/>
    </row>
    <row r="1166" spans="1:8" ht="15.75" customHeight="1" x14ac:dyDescent="0.25">
      <c r="A1166" s="212" t="s">
        <v>2081</v>
      </c>
      <c r="B1166" s="208"/>
      <c r="C1166" s="208"/>
      <c r="D1166" s="209">
        <v>49.9</v>
      </c>
      <c r="E1166" s="210">
        <v>1</v>
      </c>
      <c r="F1166" s="209">
        <f t="shared" si="18"/>
        <v>49.9</v>
      </c>
      <c r="G1166" s="208"/>
      <c r="H1166" s="208"/>
    </row>
    <row r="1167" spans="1:8" ht="15.75" customHeight="1" x14ac:dyDescent="0.25">
      <c r="A1167" s="212" t="s">
        <v>2082</v>
      </c>
      <c r="B1167" s="208"/>
      <c r="C1167" s="208"/>
      <c r="D1167" s="209">
        <v>35.700000000000003</v>
      </c>
      <c r="E1167" s="210"/>
      <c r="F1167" s="209">
        <f t="shared" si="18"/>
        <v>0</v>
      </c>
      <c r="G1167" s="208"/>
      <c r="H1167" s="208"/>
    </row>
    <row r="1168" spans="1:8" ht="15.75" customHeight="1" x14ac:dyDescent="0.25">
      <c r="A1168" s="212" t="s">
        <v>2083</v>
      </c>
      <c r="B1168" s="208"/>
      <c r="C1168" s="208"/>
      <c r="D1168" s="209">
        <v>17</v>
      </c>
      <c r="E1168" s="210">
        <v>3</v>
      </c>
      <c r="F1168" s="209">
        <f t="shared" si="18"/>
        <v>51</v>
      </c>
      <c r="G1168" s="208"/>
      <c r="H1168" s="208"/>
    </row>
    <row r="1169" spans="1:8" ht="15.75" customHeight="1" x14ac:dyDescent="0.25">
      <c r="A1169" s="212" t="s">
        <v>2084</v>
      </c>
      <c r="B1169" s="208"/>
      <c r="C1169" s="208"/>
      <c r="D1169" s="209">
        <v>22.5</v>
      </c>
      <c r="E1169" s="210">
        <v>1</v>
      </c>
      <c r="F1169" s="209">
        <f t="shared" si="18"/>
        <v>22.5</v>
      </c>
      <c r="G1169" s="208"/>
      <c r="H1169" s="208"/>
    </row>
    <row r="1170" spans="1:8" ht="15.75" customHeight="1" x14ac:dyDescent="0.25">
      <c r="A1170" s="212" t="s">
        <v>2085</v>
      </c>
      <c r="B1170" s="207" t="s">
        <v>2002</v>
      </c>
      <c r="C1170" s="208">
        <v>1.4</v>
      </c>
      <c r="D1170" s="209">
        <v>10.4</v>
      </c>
      <c r="E1170" s="210">
        <v>1</v>
      </c>
      <c r="F1170" s="209">
        <f t="shared" si="18"/>
        <v>10.4</v>
      </c>
      <c r="G1170" s="209"/>
      <c r="H1170" s="208"/>
    </row>
    <row r="1171" spans="1:8" ht="15.75" customHeight="1" x14ac:dyDescent="0.25">
      <c r="A1171" s="212" t="s">
        <v>2086</v>
      </c>
      <c r="B1171" s="207" t="s">
        <v>2002</v>
      </c>
      <c r="C1171" s="208">
        <v>0.5</v>
      </c>
      <c r="D1171" s="209">
        <v>48.3</v>
      </c>
      <c r="E1171" s="210"/>
      <c r="F1171" s="209">
        <f t="shared" si="18"/>
        <v>0</v>
      </c>
      <c r="G1171" s="209"/>
      <c r="H1171" s="208"/>
    </row>
    <row r="1172" spans="1:8" ht="15.75" customHeight="1" x14ac:dyDescent="0.25">
      <c r="A1172" s="212" t="s">
        <v>2087</v>
      </c>
      <c r="B1172" s="208"/>
      <c r="C1172" s="208"/>
      <c r="D1172" s="209">
        <v>73.400000000000006</v>
      </c>
      <c r="E1172" s="210">
        <v>1.25</v>
      </c>
      <c r="F1172" s="209">
        <f t="shared" si="18"/>
        <v>91.75</v>
      </c>
      <c r="G1172" s="208"/>
      <c r="H1172" s="208"/>
    </row>
    <row r="1173" spans="1:8" ht="15.75" customHeight="1" x14ac:dyDescent="0.25">
      <c r="A1173" s="212" t="s">
        <v>2088</v>
      </c>
      <c r="B1173" s="208"/>
      <c r="C1173" s="208"/>
      <c r="D1173" s="209">
        <v>76.55</v>
      </c>
      <c r="E1173" s="210">
        <v>5</v>
      </c>
      <c r="F1173" s="209">
        <f t="shared" si="18"/>
        <v>382.75</v>
      </c>
      <c r="G1173" s="208"/>
      <c r="H1173" s="208"/>
    </row>
    <row r="1174" spans="1:8" ht="15.75" customHeight="1" x14ac:dyDescent="0.25">
      <c r="A1174" s="212" t="s">
        <v>2089</v>
      </c>
      <c r="B1174" s="207" t="s">
        <v>2090</v>
      </c>
      <c r="C1174" s="208"/>
      <c r="D1174" s="209">
        <v>24.95</v>
      </c>
      <c r="E1174" s="210">
        <v>2.5</v>
      </c>
      <c r="F1174" s="209">
        <f t="shared" si="18"/>
        <v>62.375</v>
      </c>
      <c r="G1174" s="208"/>
      <c r="H1174" s="208"/>
    </row>
    <row r="1175" spans="1:8" ht="15.75" customHeight="1" x14ac:dyDescent="0.25">
      <c r="A1175" s="212" t="s">
        <v>2091</v>
      </c>
      <c r="B1175" s="208"/>
      <c r="C1175" s="208"/>
      <c r="D1175" s="209">
        <v>74.95</v>
      </c>
      <c r="E1175" s="210">
        <v>0.5</v>
      </c>
      <c r="F1175" s="209">
        <f t="shared" si="18"/>
        <v>37.475000000000001</v>
      </c>
      <c r="G1175" s="208"/>
      <c r="H1175" s="208"/>
    </row>
    <row r="1176" spans="1:8" ht="15.75" customHeight="1" x14ac:dyDescent="0.25">
      <c r="A1176" s="212" t="s">
        <v>2092</v>
      </c>
      <c r="B1176" s="208"/>
      <c r="C1176" s="208"/>
      <c r="D1176" s="209">
        <v>11.7</v>
      </c>
      <c r="E1176" s="210">
        <v>0</v>
      </c>
      <c r="F1176" s="209">
        <f t="shared" si="18"/>
        <v>0</v>
      </c>
      <c r="G1176" s="208"/>
      <c r="H1176" s="208"/>
    </row>
    <row r="1177" spans="1:8" ht="15.75" customHeight="1" x14ac:dyDescent="0.25">
      <c r="A1177" s="212" t="s">
        <v>2093</v>
      </c>
      <c r="B1177" s="208"/>
      <c r="C1177" s="208"/>
      <c r="D1177" s="209">
        <v>50</v>
      </c>
      <c r="E1177" s="210"/>
      <c r="F1177" s="209">
        <f t="shared" si="18"/>
        <v>0</v>
      </c>
      <c r="G1177" s="208"/>
      <c r="H1177" s="208"/>
    </row>
    <row r="1178" spans="1:8" ht="15.75" customHeight="1" x14ac:dyDescent="0.25">
      <c r="A1178" s="212" t="s">
        <v>2094</v>
      </c>
      <c r="B1178" s="208"/>
      <c r="C1178" s="208">
        <v>0.75</v>
      </c>
      <c r="D1178" s="209">
        <v>6.5</v>
      </c>
      <c r="E1178" s="210">
        <v>12</v>
      </c>
      <c r="F1178" s="209">
        <f t="shared" si="18"/>
        <v>78</v>
      </c>
      <c r="G1178" s="208"/>
      <c r="H1178" s="208"/>
    </row>
    <row r="1179" spans="1:8" ht="15.75" customHeight="1" x14ac:dyDescent="0.25">
      <c r="A1179" s="212" t="s">
        <v>2095</v>
      </c>
      <c r="B1179" s="208"/>
      <c r="C1179" s="208"/>
      <c r="D1179" s="209">
        <v>42.9</v>
      </c>
      <c r="E1179" s="210">
        <v>0.8</v>
      </c>
      <c r="F1179" s="209">
        <f t="shared" si="18"/>
        <v>34.32</v>
      </c>
      <c r="G1179" s="208"/>
      <c r="H1179" s="208"/>
    </row>
    <row r="1180" spans="1:8" ht="15.75" customHeight="1" x14ac:dyDescent="0.25">
      <c r="A1180" s="212" t="s">
        <v>2096</v>
      </c>
      <c r="B1180" s="207" t="s">
        <v>2097</v>
      </c>
      <c r="C1180" s="208"/>
      <c r="D1180" s="209">
        <v>16.8</v>
      </c>
      <c r="E1180" s="210">
        <v>0.25</v>
      </c>
      <c r="F1180" s="209">
        <f t="shared" si="18"/>
        <v>4.2</v>
      </c>
      <c r="G1180" s="208"/>
      <c r="H1180" s="208"/>
    </row>
    <row r="1181" spans="1:8" ht="15.75" customHeight="1" x14ac:dyDescent="0.25">
      <c r="A1181" s="212" t="s">
        <v>2098</v>
      </c>
      <c r="B1181" s="207" t="s">
        <v>2097</v>
      </c>
      <c r="C1181" s="208"/>
      <c r="D1181" s="209">
        <v>50</v>
      </c>
      <c r="E1181" s="210">
        <v>0.3</v>
      </c>
      <c r="F1181" s="209">
        <f t="shared" si="18"/>
        <v>15</v>
      </c>
      <c r="G1181" s="208"/>
      <c r="H1181" s="208"/>
    </row>
    <row r="1182" spans="1:8" ht="15.75" customHeight="1" x14ac:dyDescent="0.25">
      <c r="A1182" s="212" t="s">
        <v>2099</v>
      </c>
      <c r="B1182" s="207" t="s">
        <v>2097</v>
      </c>
      <c r="C1182" s="208"/>
      <c r="D1182" s="209">
        <v>35</v>
      </c>
      <c r="E1182" s="210">
        <v>1</v>
      </c>
      <c r="F1182" s="209">
        <f t="shared" si="18"/>
        <v>35</v>
      </c>
      <c r="G1182" s="208"/>
      <c r="H1182" s="208"/>
    </row>
    <row r="1183" spans="1:8" ht="15.75" customHeight="1" x14ac:dyDescent="0.25">
      <c r="A1183" s="212" t="s">
        <v>2100</v>
      </c>
      <c r="B1183" s="207" t="s">
        <v>2097</v>
      </c>
      <c r="C1183" s="208"/>
      <c r="D1183" s="209">
        <v>35</v>
      </c>
      <c r="E1183" s="210">
        <v>0.1</v>
      </c>
      <c r="F1183" s="209">
        <f t="shared" si="18"/>
        <v>3.5</v>
      </c>
      <c r="G1183" s="208"/>
      <c r="H1183" s="208"/>
    </row>
    <row r="1184" spans="1:8" ht="15.75" customHeight="1" x14ac:dyDescent="0.25">
      <c r="A1184" s="212" t="s">
        <v>2101</v>
      </c>
      <c r="B1184" s="207" t="s">
        <v>2097</v>
      </c>
      <c r="C1184" s="208"/>
      <c r="D1184" s="213">
        <v>18.5</v>
      </c>
      <c r="E1184" s="210"/>
      <c r="F1184" s="209">
        <f t="shared" si="18"/>
        <v>0</v>
      </c>
      <c r="G1184" s="208"/>
      <c r="H1184" s="208"/>
    </row>
    <row r="1185" spans="1:8" ht="15.75" customHeight="1" x14ac:dyDescent="0.25">
      <c r="A1185" s="212" t="s">
        <v>2102</v>
      </c>
      <c r="B1185" s="207" t="s">
        <v>2097</v>
      </c>
      <c r="C1185" s="208"/>
      <c r="D1185" s="209">
        <v>11.4</v>
      </c>
      <c r="E1185" s="210">
        <v>3</v>
      </c>
      <c r="F1185" s="209">
        <f t="shared" si="18"/>
        <v>34.200000000000003</v>
      </c>
      <c r="G1185" s="208"/>
      <c r="H1185" s="208"/>
    </row>
    <row r="1186" spans="1:8" ht="15.75" customHeight="1" x14ac:dyDescent="0.25">
      <c r="A1186" s="212" t="s">
        <v>2103</v>
      </c>
      <c r="B1186" s="207" t="s">
        <v>2097</v>
      </c>
      <c r="C1186" s="208"/>
      <c r="D1186" s="209">
        <v>11.99</v>
      </c>
      <c r="E1186" s="210"/>
      <c r="F1186" s="209">
        <f t="shared" si="18"/>
        <v>0</v>
      </c>
      <c r="G1186" s="208"/>
      <c r="H1186" s="208"/>
    </row>
    <row r="1187" spans="1:8" ht="15.75" customHeight="1" x14ac:dyDescent="0.25">
      <c r="A1187" s="212" t="s">
        <v>2104</v>
      </c>
      <c r="B1187" s="207" t="s">
        <v>2097</v>
      </c>
      <c r="C1187" s="208">
        <v>0.33</v>
      </c>
      <c r="D1187" s="209">
        <v>19.989999999999998</v>
      </c>
      <c r="E1187" s="210"/>
      <c r="F1187" s="209">
        <f t="shared" si="18"/>
        <v>0</v>
      </c>
      <c r="G1187" s="208"/>
      <c r="H1187" s="208"/>
    </row>
    <row r="1188" spans="1:8" ht="15.75" customHeight="1" x14ac:dyDescent="0.25">
      <c r="A1188" s="212" t="s">
        <v>2105</v>
      </c>
      <c r="B1188" s="207" t="s">
        <v>2097</v>
      </c>
      <c r="C1188" s="208"/>
      <c r="D1188" s="209">
        <v>41.95</v>
      </c>
      <c r="E1188" s="210">
        <v>0.2</v>
      </c>
      <c r="F1188" s="209">
        <f t="shared" si="18"/>
        <v>8.39</v>
      </c>
      <c r="G1188" s="208"/>
      <c r="H1188" s="208"/>
    </row>
    <row r="1189" spans="1:8" ht="15.75" customHeight="1" x14ac:dyDescent="0.25">
      <c r="A1189" s="212" t="s">
        <v>2106</v>
      </c>
      <c r="B1189" s="207" t="s">
        <v>2097</v>
      </c>
      <c r="C1189" s="208"/>
      <c r="D1189" s="209">
        <v>164.87</v>
      </c>
      <c r="E1189" s="210">
        <v>0.65</v>
      </c>
      <c r="F1189" s="209">
        <f t="shared" si="18"/>
        <v>107.16550000000001</v>
      </c>
      <c r="G1189" s="208"/>
      <c r="H1189" s="208"/>
    </row>
    <row r="1190" spans="1:8" ht="15.75" customHeight="1" x14ac:dyDescent="0.25">
      <c r="A1190" s="212" t="s">
        <v>2107</v>
      </c>
      <c r="B1190" s="207" t="s">
        <v>2097</v>
      </c>
      <c r="C1190" s="208"/>
      <c r="D1190" s="209">
        <v>16.3</v>
      </c>
      <c r="E1190" s="210">
        <v>0.5</v>
      </c>
      <c r="F1190" s="209">
        <f t="shared" si="18"/>
        <v>8.15</v>
      </c>
      <c r="G1190" s="208"/>
      <c r="H1190" s="208"/>
    </row>
    <row r="1191" spans="1:8" ht="15.75" customHeight="1" x14ac:dyDescent="0.25">
      <c r="A1191" s="212" t="s">
        <v>2108</v>
      </c>
      <c r="B1191" s="207" t="s">
        <v>2097</v>
      </c>
      <c r="C1191" s="208"/>
      <c r="D1191" s="209">
        <v>10</v>
      </c>
      <c r="E1191" s="210"/>
      <c r="F1191" s="209">
        <f t="shared" si="18"/>
        <v>0</v>
      </c>
      <c r="G1191" s="208"/>
      <c r="H1191" s="208"/>
    </row>
    <row r="1192" spans="1:8" ht="15.75" customHeight="1" x14ac:dyDescent="0.25">
      <c r="A1192" s="212" t="s">
        <v>2109</v>
      </c>
      <c r="B1192" s="207" t="s">
        <v>2097</v>
      </c>
      <c r="C1192" s="208"/>
      <c r="D1192" s="209">
        <v>15</v>
      </c>
      <c r="E1192" s="210">
        <v>3</v>
      </c>
      <c r="F1192" s="209">
        <f t="shared" ref="F1192:F1255" si="19">D1192:D1192*E1192:E1192</f>
        <v>45</v>
      </c>
      <c r="G1192" s="207" t="s">
        <v>778</v>
      </c>
      <c r="H1192" s="208"/>
    </row>
    <row r="1193" spans="1:8" ht="15.75" customHeight="1" x14ac:dyDescent="0.25">
      <c r="A1193" s="219"/>
      <c r="B1193" s="207" t="s">
        <v>2097</v>
      </c>
      <c r="C1193" s="208"/>
      <c r="D1193" s="209">
        <v>3.75</v>
      </c>
      <c r="E1193" s="210"/>
      <c r="F1193" s="209">
        <f t="shared" si="19"/>
        <v>0</v>
      </c>
      <c r="G1193" s="207" t="s">
        <v>778</v>
      </c>
      <c r="H1193" s="208"/>
    </row>
    <row r="1194" spans="1:8" ht="15.75" customHeight="1" x14ac:dyDescent="0.25">
      <c r="A1194" s="212" t="s">
        <v>2110</v>
      </c>
      <c r="B1194" s="207" t="s">
        <v>2111</v>
      </c>
      <c r="C1194" s="208"/>
      <c r="D1194" s="209">
        <v>0</v>
      </c>
      <c r="E1194" s="210">
        <v>4</v>
      </c>
      <c r="F1194" s="209">
        <f t="shared" si="19"/>
        <v>0</v>
      </c>
      <c r="G1194" s="211" t="s">
        <v>767</v>
      </c>
      <c r="H1194" s="208"/>
    </row>
    <row r="1195" spans="1:8" ht="15.75" customHeight="1" x14ac:dyDescent="0.25">
      <c r="A1195" s="212" t="s">
        <v>2112</v>
      </c>
      <c r="B1195" s="207" t="s">
        <v>2111</v>
      </c>
      <c r="C1195" s="208"/>
      <c r="D1195" s="209">
        <v>8.0500000000000007</v>
      </c>
      <c r="E1195" s="210">
        <v>30</v>
      </c>
      <c r="F1195" s="209">
        <f t="shared" si="19"/>
        <v>241.50000000000003</v>
      </c>
      <c r="G1195" s="211" t="s">
        <v>767</v>
      </c>
      <c r="H1195" s="208"/>
    </row>
    <row r="1196" spans="1:8" ht="15.75" customHeight="1" x14ac:dyDescent="0.25">
      <c r="A1196" s="212" t="s">
        <v>2113</v>
      </c>
      <c r="B1196" s="207" t="s">
        <v>2114</v>
      </c>
      <c r="C1196" s="208"/>
      <c r="D1196" s="209">
        <v>372.76</v>
      </c>
      <c r="E1196" s="210">
        <v>1</v>
      </c>
      <c r="F1196" s="209">
        <f t="shared" si="19"/>
        <v>372.76</v>
      </c>
      <c r="G1196" s="209"/>
      <c r="H1196" s="208"/>
    </row>
    <row r="1197" spans="1:8" ht="15.75" customHeight="1" x14ac:dyDescent="0.25">
      <c r="A1197" s="212" t="s">
        <v>2115</v>
      </c>
      <c r="B1197" s="207" t="s">
        <v>1701</v>
      </c>
      <c r="C1197" s="208"/>
      <c r="D1197" s="209">
        <v>155</v>
      </c>
      <c r="E1197" s="210">
        <v>1</v>
      </c>
      <c r="F1197" s="209">
        <f t="shared" si="19"/>
        <v>155</v>
      </c>
      <c r="G1197" s="209"/>
      <c r="H1197" s="208"/>
    </row>
    <row r="1198" spans="1:8" ht="15.75" customHeight="1" x14ac:dyDescent="0.25">
      <c r="A1198" s="212" t="s">
        <v>2116</v>
      </c>
      <c r="B1198" s="211" t="s">
        <v>2117</v>
      </c>
      <c r="C1198" s="208"/>
      <c r="D1198" s="209">
        <v>31.95</v>
      </c>
      <c r="E1198" s="210">
        <v>1</v>
      </c>
      <c r="F1198" s="209">
        <f t="shared" si="19"/>
        <v>31.95</v>
      </c>
      <c r="G1198" s="209"/>
      <c r="H1198" s="208"/>
    </row>
    <row r="1199" spans="1:8" ht="15.75" customHeight="1" x14ac:dyDescent="0.25">
      <c r="A1199" s="212" t="s">
        <v>2118</v>
      </c>
      <c r="B1199" s="211" t="s">
        <v>2117</v>
      </c>
      <c r="C1199" s="208"/>
      <c r="D1199" s="209">
        <v>40</v>
      </c>
      <c r="E1199" s="210">
        <v>1</v>
      </c>
      <c r="F1199" s="209">
        <f t="shared" si="19"/>
        <v>40</v>
      </c>
      <c r="G1199" s="208"/>
      <c r="H1199" s="208"/>
    </row>
    <row r="1200" spans="1:8" ht="15.75" customHeight="1" x14ac:dyDescent="0.25">
      <c r="A1200" s="212" t="s">
        <v>2119</v>
      </c>
      <c r="B1200" s="211" t="s">
        <v>2117</v>
      </c>
      <c r="C1200" s="208"/>
      <c r="D1200" s="209"/>
      <c r="E1200" s="210"/>
      <c r="F1200" s="209">
        <f t="shared" si="19"/>
        <v>0</v>
      </c>
      <c r="G1200" s="208"/>
      <c r="H1200" s="208"/>
    </row>
    <row r="1201" spans="1:8" ht="15.75" customHeight="1" x14ac:dyDescent="0.25">
      <c r="A1201" s="212" t="s">
        <v>2120</v>
      </c>
      <c r="B1201" s="207" t="s">
        <v>1701</v>
      </c>
      <c r="C1201" s="208"/>
      <c r="D1201" s="209">
        <v>19.27</v>
      </c>
      <c r="E1201" s="210"/>
      <c r="F1201" s="209">
        <f t="shared" si="19"/>
        <v>0</v>
      </c>
      <c r="G1201" s="208"/>
      <c r="H1201" s="208"/>
    </row>
    <row r="1202" spans="1:8" ht="15.75" customHeight="1" x14ac:dyDescent="0.25">
      <c r="A1202" s="212" t="s">
        <v>2121</v>
      </c>
      <c r="B1202" s="207" t="s">
        <v>1701</v>
      </c>
      <c r="C1202" s="208"/>
      <c r="D1202" s="209">
        <v>39.93</v>
      </c>
      <c r="E1202" s="210"/>
      <c r="F1202" s="209">
        <f t="shared" si="19"/>
        <v>0</v>
      </c>
      <c r="G1202" s="208"/>
      <c r="H1202" s="208"/>
    </row>
    <row r="1203" spans="1:8" ht="15.75" customHeight="1" x14ac:dyDescent="0.25">
      <c r="A1203" s="212" t="s">
        <v>2122</v>
      </c>
      <c r="B1203" s="207" t="s">
        <v>1701</v>
      </c>
      <c r="C1203" s="208"/>
      <c r="D1203" s="209">
        <v>60.6</v>
      </c>
      <c r="E1203" s="210">
        <v>0.25</v>
      </c>
      <c r="F1203" s="209">
        <f t="shared" si="19"/>
        <v>15.15</v>
      </c>
      <c r="G1203" s="207" t="s">
        <v>917</v>
      </c>
      <c r="H1203" s="208"/>
    </row>
    <row r="1204" spans="1:8" ht="15.75" customHeight="1" x14ac:dyDescent="0.25">
      <c r="A1204" s="212" t="s">
        <v>2123</v>
      </c>
      <c r="B1204" s="207" t="s">
        <v>1701</v>
      </c>
      <c r="C1204" s="208"/>
      <c r="D1204" s="209">
        <v>10.29</v>
      </c>
      <c r="E1204" s="210"/>
      <c r="F1204" s="209">
        <f t="shared" si="19"/>
        <v>0</v>
      </c>
      <c r="G1204" s="208"/>
      <c r="H1204" s="208"/>
    </row>
    <row r="1205" spans="1:8" ht="15.75" customHeight="1" x14ac:dyDescent="0.25">
      <c r="A1205" s="212" t="s">
        <v>2124</v>
      </c>
      <c r="B1205" s="207" t="s">
        <v>1701</v>
      </c>
      <c r="C1205" s="208"/>
      <c r="D1205" s="209">
        <v>54.5</v>
      </c>
      <c r="E1205" s="210">
        <v>1.2</v>
      </c>
      <c r="F1205" s="209">
        <f>D1205:D1205*E1205:E1205</f>
        <v>65.399999999999991</v>
      </c>
      <c r="G1205" s="211" t="s">
        <v>767</v>
      </c>
      <c r="H1205" s="208"/>
    </row>
    <row r="1206" spans="1:8" ht="15.75" customHeight="1" x14ac:dyDescent="0.25">
      <c r="A1206" s="212" t="s">
        <v>2125</v>
      </c>
      <c r="B1206" s="207" t="s">
        <v>1701</v>
      </c>
      <c r="C1206" s="208"/>
      <c r="D1206" s="209">
        <v>25.62</v>
      </c>
      <c r="E1206" s="210"/>
      <c r="F1206" s="209">
        <f t="shared" si="19"/>
        <v>0</v>
      </c>
      <c r="G1206" s="208"/>
      <c r="H1206" s="208"/>
    </row>
    <row r="1207" spans="1:8" ht="15.75" customHeight="1" x14ac:dyDescent="0.25">
      <c r="A1207" s="212" t="s">
        <v>2126</v>
      </c>
      <c r="B1207" s="207" t="s">
        <v>1701</v>
      </c>
      <c r="C1207" s="208"/>
      <c r="D1207" s="209">
        <v>27.96</v>
      </c>
      <c r="E1207" s="210"/>
      <c r="F1207" s="209">
        <f t="shared" si="19"/>
        <v>0</v>
      </c>
      <c r="G1207" s="208"/>
      <c r="H1207" s="208"/>
    </row>
    <row r="1208" spans="1:8" ht="15.75" customHeight="1" x14ac:dyDescent="0.25">
      <c r="A1208" s="212" t="s">
        <v>2127</v>
      </c>
      <c r="B1208" s="207" t="s">
        <v>1701</v>
      </c>
      <c r="C1208" s="208"/>
      <c r="D1208" s="209">
        <v>11.22</v>
      </c>
      <c r="E1208" s="210"/>
      <c r="F1208" s="209">
        <f t="shared" si="19"/>
        <v>0</v>
      </c>
      <c r="G1208" s="208"/>
      <c r="H1208" s="208"/>
    </row>
    <row r="1209" spans="1:8" ht="15.75" customHeight="1" x14ac:dyDescent="0.25">
      <c r="A1209" s="212" t="s">
        <v>2128</v>
      </c>
      <c r="B1209" s="207" t="s">
        <v>1701</v>
      </c>
      <c r="C1209" s="208"/>
      <c r="D1209" s="209">
        <v>66</v>
      </c>
      <c r="E1209" s="210"/>
      <c r="F1209" s="209">
        <f t="shared" si="19"/>
        <v>0</v>
      </c>
      <c r="G1209" s="208"/>
      <c r="H1209" s="208"/>
    </row>
    <row r="1210" spans="1:8" ht="15.75" customHeight="1" x14ac:dyDescent="0.25">
      <c r="A1210" s="212" t="s">
        <v>2129</v>
      </c>
      <c r="B1210" s="207" t="s">
        <v>1701</v>
      </c>
      <c r="C1210" s="208"/>
      <c r="D1210" s="209">
        <v>55</v>
      </c>
      <c r="E1210" s="210"/>
      <c r="F1210" s="209">
        <f t="shared" si="19"/>
        <v>0</v>
      </c>
      <c r="G1210" s="208"/>
      <c r="H1210" s="208"/>
    </row>
    <row r="1211" spans="1:8" ht="15.75" customHeight="1" x14ac:dyDescent="0.25">
      <c r="A1211" s="212" t="s">
        <v>2130</v>
      </c>
      <c r="B1211" s="207" t="s">
        <v>1701</v>
      </c>
      <c r="C1211" s="208"/>
      <c r="D1211" s="209">
        <v>9.15</v>
      </c>
      <c r="E1211" s="210"/>
      <c r="F1211" s="209">
        <f t="shared" si="19"/>
        <v>0</v>
      </c>
      <c r="G1211" s="208"/>
      <c r="H1211" s="208"/>
    </row>
    <row r="1212" spans="1:8" ht="15.75" customHeight="1" x14ac:dyDescent="0.25">
      <c r="A1212" s="212" t="s">
        <v>2131</v>
      </c>
      <c r="B1212" s="207" t="s">
        <v>1701</v>
      </c>
      <c r="C1212" s="208"/>
      <c r="D1212" s="209">
        <v>26.15</v>
      </c>
      <c r="E1212" s="210"/>
      <c r="F1212" s="209">
        <f t="shared" si="19"/>
        <v>0</v>
      </c>
      <c r="G1212" s="208"/>
      <c r="H1212" s="208"/>
    </row>
    <row r="1213" spans="1:8" ht="15.75" customHeight="1" x14ac:dyDescent="0.25">
      <c r="A1213" s="212" t="s">
        <v>2132</v>
      </c>
      <c r="B1213" s="207" t="s">
        <v>1701</v>
      </c>
      <c r="C1213" s="208">
        <v>3</v>
      </c>
      <c r="D1213" s="209">
        <v>55.33</v>
      </c>
      <c r="E1213" s="210"/>
      <c r="F1213" s="209">
        <f t="shared" si="19"/>
        <v>0</v>
      </c>
      <c r="G1213" s="208"/>
      <c r="H1213" s="208"/>
    </row>
    <row r="1214" spans="1:8" ht="15.75" customHeight="1" x14ac:dyDescent="0.25">
      <c r="A1214" s="219"/>
      <c r="B1214" s="208"/>
      <c r="C1214" s="208"/>
      <c r="D1214" s="209"/>
      <c r="E1214" s="210"/>
      <c r="F1214" s="209">
        <f t="shared" si="19"/>
        <v>0</v>
      </c>
      <c r="G1214" s="208"/>
      <c r="H1214" s="208"/>
    </row>
    <row r="1215" spans="1:8" ht="13.5" customHeight="1" x14ac:dyDescent="0.25">
      <c r="A1215" s="219"/>
      <c r="B1215" s="208"/>
      <c r="C1215" s="208"/>
      <c r="D1215" s="209"/>
      <c r="E1215" s="210"/>
      <c r="F1215" s="209">
        <f t="shared" si="19"/>
        <v>0</v>
      </c>
      <c r="G1215" s="208"/>
      <c r="H1215" s="208"/>
    </row>
    <row r="1216" spans="1:8" ht="13.5" customHeight="1" x14ac:dyDescent="0.25">
      <c r="A1216" s="212" t="s">
        <v>2133</v>
      </c>
      <c r="B1216" s="208"/>
      <c r="C1216" s="208"/>
      <c r="D1216" s="209">
        <v>0.94</v>
      </c>
      <c r="E1216" s="210"/>
      <c r="F1216" s="209">
        <f t="shared" si="19"/>
        <v>0</v>
      </c>
      <c r="G1216" s="208"/>
      <c r="H1216" s="208"/>
    </row>
    <row r="1217" spans="1:8" ht="13.5" customHeight="1" x14ac:dyDescent="0.25">
      <c r="A1217" s="207" t="s">
        <v>2134</v>
      </c>
      <c r="B1217" s="207" t="s">
        <v>1701</v>
      </c>
      <c r="C1217" s="208"/>
      <c r="D1217" s="209">
        <v>23.82</v>
      </c>
      <c r="E1217" s="210"/>
      <c r="F1217" s="209">
        <f>D1217*E1217</f>
        <v>0</v>
      </c>
      <c r="G1217" s="207" t="s">
        <v>778</v>
      </c>
      <c r="H1217" s="208"/>
    </row>
    <row r="1218" spans="1:8" ht="13.5" customHeight="1" x14ac:dyDescent="0.25">
      <c r="A1218" s="208"/>
      <c r="B1218" s="208"/>
      <c r="C1218" s="208"/>
      <c r="D1218" s="209"/>
      <c r="E1218" s="210"/>
      <c r="F1218" s="209"/>
      <c r="G1218" s="207" t="s">
        <v>778</v>
      </c>
      <c r="H1218" s="208"/>
    </row>
    <row r="1219" spans="1:8" ht="13.5" customHeight="1" x14ac:dyDescent="0.25">
      <c r="A1219" s="207" t="s">
        <v>2135</v>
      </c>
      <c r="B1219" s="207" t="s">
        <v>1701</v>
      </c>
      <c r="C1219" s="208"/>
      <c r="D1219" s="209">
        <v>44.62</v>
      </c>
      <c r="E1219" s="210">
        <v>0.4</v>
      </c>
      <c r="F1219" s="209">
        <f t="shared" ref="F1219:F1285" si="20">D1219*E1219</f>
        <v>17.847999999999999</v>
      </c>
      <c r="G1219" s="211" t="s">
        <v>767</v>
      </c>
      <c r="H1219" s="208"/>
    </row>
    <row r="1220" spans="1:8" ht="13.5" customHeight="1" x14ac:dyDescent="0.25">
      <c r="A1220" s="207" t="s">
        <v>2136</v>
      </c>
      <c r="B1220" s="207" t="s">
        <v>1701</v>
      </c>
      <c r="C1220" s="208"/>
      <c r="D1220" s="209">
        <v>44.62</v>
      </c>
      <c r="E1220" s="210">
        <v>0.4</v>
      </c>
      <c r="F1220" s="209">
        <f t="shared" si="20"/>
        <v>17.847999999999999</v>
      </c>
      <c r="G1220" s="211" t="s">
        <v>767</v>
      </c>
      <c r="H1220" s="208"/>
    </row>
    <row r="1221" spans="1:8" ht="13.5" customHeight="1" x14ac:dyDescent="0.25">
      <c r="A1221" s="207" t="s">
        <v>2137</v>
      </c>
      <c r="B1221" s="207" t="s">
        <v>1701</v>
      </c>
      <c r="C1221" s="208"/>
      <c r="D1221" s="209">
        <v>16.82</v>
      </c>
      <c r="E1221" s="210"/>
      <c r="F1221" s="209">
        <f t="shared" si="20"/>
        <v>0</v>
      </c>
      <c r="G1221" s="207" t="s">
        <v>778</v>
      </c>
      <c r="H1221" s="208"/>
    </row>
    <row r="1222" spans="1:8" ht="14.25" customHeight="1" x14ac:dyDescent="0.25">
      <c r="A1222" s="207" t="s">
        <v>2138</v>
      </c>
      <c r="B1222" s="207" t="s">
        <v>1701</v>
      </c>
      <c r="C1222" s="208"/>
      <c r="D1222" s="209">
        <v>16.21</v>
      </c>
      <c r="E1222" s="210"/>
      <c r="F1222" s="209">
        <f t="shared" si="20"/>
        <v>0</v>
      </c>
      <c r="G1222" s="208"/>
      <c r="H1222" s="208"/>
    </row>
    <row r="1223" spans="1:8" ht="13.5" customHeight="1" x14ac:dyDescent="0.25">
      <c r="A1223" s="207" t="s">
        <v>2139</v>
      </c>
      <c r="B1223" s="207" t="s">
        <v>1701</v>
      </c>
      <c r="C1223" s="208"/>
      <c r="D1223" s="209">
        <v>12</v>
      </c>
      <c r="E1223" s="210">
        <v>0</v>
      </c>
      <c r="F1223" s="209">
        <f t="shared" si="20"/>
        <v>0</v>
      </c>
      <c r="G1223" s="211" t="s">
        <v>767</v>
      </c>
      <c r="H1223" s="208"/>
    </row>
    <row r="1224" spans="1:8" ht="13.5" customHeight="1" x14ac:dyDescent="0.25">
      <c r="A1224" s="207" t="s">
        <v>2140</v>
      </c>
      <c r="B1224" s="207" t="s">
        <v>1701</v>
      </c>
      <c r="C1224" s="208"/>
      <c r="D1224" s="209">
        <v>39</v>
      </c>
      <c r="E1224" s="210">
        <v>1.2</v>
      </c>
      <c r="F1224" s="209">
        <f t="shared" si="20"/>
        <v>46.8</v>
      </c>
      <c r="G1224" s="211" t="s">
        <v>767</v>
      </c>
      <c r="H1224" s="208"/>
    </row>
    <row r="1225" spans="1:8" ht="13.5" customHeight="1" x14ac:dyDescent="0.25">
      <c r="A1225" s="207" t="s">
        <v>2141</v>
      </c>
      <c r="B1225" s="207" t="s">
        <v>1701</v>
      </c>
      <c r="C1225" s="208"/>
      <c r="D1225" s="209">
        <v>37</v>
      </c>
      <c r="E1225" s="210">
        <v>1.5</v>
      </c>
      <c r="F1225" s="209">
        <f t="shared" si="20"/>
        <v>55.5</v>
      </c>
      <c r="G1225" s="211" t="s">
        <v>767</v>
      </c>
      <c r="H1225" s="208"/>
    </row>
    <row r="1226" spans="1:8" ht="13.5" customHeight="1" x14ac:dyDescent="0.25">
      <c r="A1226" s="207" t="s">
        <v>2142</v>
      </c>
      <c r="B1226" s="207" t="s">
        <v>1701</v>
      </c>
      <c r="C1226" s="207" t="s">
        <v>2143</v>
      </c>
      <c r="D1226" s="209">
        <v>51</v>
      </c>
      <c r="E1226" s="210">
        <v>1.4</v>
      </c>
      <c r="F1226" s="209">
        <f t="shared" si="20"/>
        <v>71.399999999999991</v>
      </c>
      <c r="G1226" s="214" t="s">
        <v>767</v>
      </c>
      <c r="H1226" s="208"/>
    </row>
    <row r="1227" spans="1:8" ht="13.5" customHeight="1" x14ac:dyDescent="0.25">
      <c r="A1227" s="207" t="s">
        <v>2144</v>
      </c>
      <c r="B1227" s="207" t="s">
        <v>1701</v>
      </c>
      <c r="C1227" s="207" t="s">
        <v>748</v>
      </c>
      <c r="D1227" s="209">
        <v>30.08</v>
      </c>
      <c r="E1227" s="210"/>
      <c r="F1227" s="209">
        <f t="shared" si="20"/>
        <v>0</v>
      </c>
      <c r="G1227" s="207" t="s">
        <v>778</v>
      </c>
      <c r="H1227" s="208"/>
    </row>
    <row r="1228" spans="1:8" ht="13.5" customHeight="1" x14ac:dyDescent="0.25">
      <c r="A1228" s="207" t="s">
        <v>2145</v>
      </c>
      <c r="B1228" s="207" t="s">
        <v>1701</v>
      </c>
      <c r="C1228" s="208"/>
      <c r="D1228" s="209">
        <v>58.83</v>
      </c>
      <c r="E1228" s="210"/>
      <c r="F1228" s="209">
        <f t="shared" si="20"/>
        <v>0</v>
      </c>
      <c r="G1228" s="207" t="s">
        <v>778</v>
      </c>
      <c r="H1228" s="208"/>
    </row>
    <row r="1229" spans="1:8" ht="13.5" customHeight="1" x14ac:dyDescent="0.25">
      <c r="A1229" s="207" t="s">
        <v>2146</v>
      </c>
      <c r="B1229" s="207" t="s">
        <v>1701</v>
      </c>
      <c r="C1229" s="207" t="s">
        <v>2147</v>
      </c>
      <c r="D1229" s="209">
        <v>56.28</v>
      </c>
      <c r="E1229" s="210">
        <v>1.2</v>
      </c>
      <c r="F1229" s="209">
        <f t="shared" si="20"/>
        <v>67.536000000000001</v>
      </c>
      <c r="G1229" s="211" t="s">
        <v>767</v>
      </c>
      <c r="H1229" s="208"/>
    </row>
    <row r="1230" spans="1:8" ht="13.5" customHeight="1" x14ac:dyDescent="0.25">
      <c r="A1230" s="207" t="s">
        <v>2148</v>
      </c>
      <c r="B1230" s="207" t="s">
        <v>1701</v>
      </c>
      <c r="C1230" s="207" t="s">
        <v>2147</v>
      </c>
      <c r="D1230" s="209">
        <v>97.2</v>
      </c>
      <c r="E1230" s="210">
        <v>0.2</v>
      </c>
      <c r="F1230" s="209">
        <f t="shared" si="20"/>
        <v>19.440000000000001</v>
      </c>
      <c r="G1230" s="211" t="s">
        <v>767</v>
      </c>
      <c r="H1230" s="208"/>
    </row>
    <row r="1231" spans="1:8" ht="13.5" customHeight="1" x14ac:dyDescent="0.25">
      <c r="A1231" s="207" t="s">
        <v>2149</v>
      </c>
      <c r="B1231" s="207" t="s">
        <v>1701</v>
      </c>
      <c r="C1231" s="207" t="s">
        <v>2147</v>
      </c>
      <c r="D1231" s="209">
        <v>236</v>
      </c>
      <c r="E1231" s="210">
        <v>1.2</v>
      </c>
      <c r="F1231" s="209">
        <f t="shared" si="20"/>
        <v>283.2</v>
      </c>
      <c r="G1231" s="211" t="s">
        <v>767</v>
      </c>
      <c r="H1231" s="208"/>
    </row>
    <row r="1232" spans="1:8" ht="13.5" customHeight="1" x14ac:dyDescent="0.25">
      <c r="A1232" s="207" t="s">
        <v>2150</v>
      </c>
      <c r="B1232" s="207" t="s">
        <v>2151</v>
      </c>
      <c r="C1232" s="208"/>
      <c r="D1232" s="209">
        <v>122.93</v>
      </c>
      <c r="E1232" s="210">
        <v>0.25</v>
      </c>
      <c r="F1232" s="209">
        <f t="shared" si="20"/>
        <v>30.732500000000002</v>
      </c>
      <c r="G1232" s="208"/>
      <c r="H1232" s="208"/>
    </row>
    <row r="1233" spans="1:8" ht="13.5" customHeight="1" x14ac:dyDescent="0.25">
      <c r="A1233" s="207" t="s">
        <v>2152</v>
      </c>
      <c r="B1233" s="207" t="s">
        <v>2151</v>
      </c>
      <c r="C1233" s="208"/>
      <c r="D1233" s="209">
        <v>6.62</v>
      </c>
      <c r="E1233" s="210">
        <v>20</v>
      </c>
      <c r="F1233" s="209">
        <f t="shared" si="20"/>
        <v>132.4</v>
      </c>
      <c r="G1233" s="208" t="s">
        <v>767</v>
      </c>
      <c r="H1233" s="208"/>
    </row>
    <row r="1234" spans="1:8" ht="13.5" customHeight="1" x14ac:dyDescent="0.25">
      <c r="A1234" s="207" t="s">
        <v>2153</v>
      </c>
      <c r="B1234" s="207" t="s">
        <v>2151</v>
      </c>
      <c r="C1234" s="208"/>
      <c r="D1234" s="209">
        <v>11.51</v>
      </c>
      <c r="E1234" s="210">
        <v>0.7</v>
      </c>
      <c r="F1234" s="209">
        <f t="shared" si="20"/>
        <v>8.0569999999999986</v>
      </c>
      <c r="G1234" s="207" t="s">
        <v>767</v>
      </c>
      <c r="H1234" s="208"/>
    </row>
    <row r="1235" spans="1:8" ht="13.5" customHeight="1" x14ac:dyDescent="0.25">
      <c r="A1235" s="207" t="s">
        <v>2154</v>
      </c>
      <c r="B1235" s="207" t="s">
        <v>2155</v>
      </c>
      <c r="C1235" s="208" t="s">
        <v>2156</v>
      </c>
      <c r="D1235" s="209">
        <v>75</v>
      </c>
      <c r="E1235" s="210">
        <v>0.5</v>
      </c>
      <c r="F1235" s="209">
        <f t="shared" si="20"/>
        <v>37.5</v>
      </c>
      <c r="G1235" s="207" t="s">
        <v>767</v>
      </c>
      <c r="H1235" s="208"/>
    </row>
    <row r="1236" spans="1:8" ht="13.5" customHeight="1" x14ac:dyDescent="0.25">
      <c r="A1236" s="207" t="s">
        <v>2157</v>
      </c>
      <c r="B1236" s="207" t="s">
        <v>2158</v>
      </c>
      <c r="C1236" s="207" t="s">
        <v>2159</v>
      </c>
      <c r="D1236" s="209">
        <v>309.38</v>
      </c>
      <c r="E1236" s="210">
        <v>0.3</v>
      </c>
      <c r="F1236" s="209">
        <f t="shared" si="20"/>
        <v>92.813999999999993</v>
      </c>
      <c r="G1236" s="211" t="s">
        <v>767</v>
      </c>
      <c r="H1236" s="208"/>
    </row>
    <row r="1237" spans="1:8" ht="13.5" customHeight="1" x14ac:dyDescent="0.25">
      <c r="A1237" s="207" t="s">
        <v>2160</v>
      </c>
      <c r="B1237" s="207" t="s">
        <v>2158</v>
      </c>
      <c r="C1237" s="207" t="s">
        <v>2159</v>
      </c>
      <c r="D1237" s="209">
        <v>236.28</v>
      </c>
      <c r="E1237" s="210">
        <v>0.7</v>
      </c>
      <c r="F1237" s="209">
        <f t="shared" si="20"/>
        <v>165.39599999999999</v>
      </c>
      <c r="G1237" s="211" t="s">
        <v>767</v>
      </c>
      <c r="H1237" s="208"/>
    </row>
    <row r="1238" spans="1:8" ht="13.5" customHeight="1" x14ac:dyDescent="0.25">
      <c r="A1238" s="207" t="s">
        <v>2161</v>
      </c>
      <c r="B1238" s="207" t="s">
        <v>2158</v>
      </c>
      <c r="C1238" s="207" t="s">
        <v>2147</v>
      </c>
      <c r="D1238" s="209">
        <v>47.91</v>
      </c>
      <c r="E1238" s="210">
        <v>0.5</v>
      </c>
      <c r="F1238" s="209">
        <f t="shared" si="20"/>
        <v>23.954999999999998</v>
      </c>
      <c r="G1238" s="211" t="s">
        <v>767</v>
      </c>
      <c r="H1238" s="208"/>
    </row>
    <row r="1239" spans="1:8" ht="13.5" customHeight="1" x14ac:dyDescent="0.25">
      <c r="A1239" s="207" t="s">
        <v>2162</v>
      </c>
      <c r="B1239" s="207" t="s">
        <v>2158</v>
      </c>
      <c r="C1239" s="207" t="s">
        <v>2159</v>
      </c>
      <c r="D1239" s="209">
        <v>180.53</v>
      </c>
      <c r="E1239" s="210">
        <v>2</v>
      </c>
      <c r="F1239" s="209">
        <f t="shared" si="20"/>
        <v>361.06</v>
      </c>
      <c r="G1239" s="211" t="s">
        <v>767</v>
      </c>
      <c r="H1239" s="208"/>
    </row>
    <row r="1240" spans="1:8" ht="13.5" customHeight="1" x14ac:dyDescent="0.25">
      <c r="A1240" s="207" t="s">
        <v>2163</v>
      </c>
      <c r="B1240" s="207" t="s">
        <v>2158</v>
      </c>
      <c r="C1240" s="207" t="s">
        <v>2164</v>
      </c>
      <c r="D1240" s="209">
        <v>41.53</v>
      </c>
      <c r="E1240" s="210">
        <v>2</v>
      </c>
      <c r="F1240" s="209">
        <f t="shared" si="20"/>
        <v>83.06</v>
      </c>
      <c r="G1240" s="211" t="s">
        <v>767</v>
      </c>
      <c r="H1240" s="208"/>
    </row>
    <row r="1241" spans="1:8" ht="13.5" customHeight="1" x14ac:dyDescent="0.25">
      <c r="A1241" s="207" t="s">
        <v>2165</v>
      </c>
      <c r="B1241" s="207" t="s">
        <v>2158</v>
      </c>
      <c r="C1241" s="207" t="s">
        <v>2164</v>
      </c>
      <c r="D1241" s="209"/>
      <c r="E1241" s="210">
        <v>0.3</v>
      </c>
      <c r="F1241" s="209">
        <f>D1241:D1241*E1241:E1241</f>
        <v>0</v>
      </c>
      <c r="G1241" s="211" t="s">
        <v>767</v>
      </c>
      <c r="H1241" s="208"/>
    </row>
    <row r="1242" spans="1:8" ht="13.5" customHeight="1" x14ac:dyDescent="0.25">
      <c r="A1242" s="207" t="s">
        <v>2163</v>
      </c>
      <c r="B1242" s="207"/>
      <c r="C1242" s="207"/>
      <c r="D1242" s="209"/>
      <c r="E1242" s="210"/>
      <c r="F1242" s="209"/>
      <c r="G1242" s="211"/>
      <c r="H1242" s="208"/>
    </row>
    <row r="1243" spans="1:8" ht="13.5" customHeight="1" x14ac:dyDescent="0.25">
      <c r="A1243" s="207" t="s">
        <v>2166</v>
      </c>
      <c r="B1243" s="207"/>
      <c r="C1243" s="207"/>
      <c r="D1243" s="209"/>
      <c r="E1243" s="210">
        <v>0.25</v>
      </c>
      <c r="F1243" s="209"/>
      <c r="G1243" s="211" t="s">
        <v>767</v>
      </c>
      <c r="H1243" s="208"/>
    </row>
    <row r="1244" spans="1:8" ht="13.5" customHeight="1" x14ac:dyDescent="0.25">
      <c r="A1244" s="207" t="s">
        <v>421</v>
      </c>
      <c r="B1244" s="208"/>
      <c r="C1244" s="208"/>
      <c r="D1244" s="209">
        <v>55.65</v>
      </c>
      <c r="E1244" s="210"/>
      <c r="F1244" s="209">
        <f t="shared" si="20"/>
        <v>0</v>
      </c>
      <c r="G1244" s="208"/>
      <c r="H1244" s="208"/>
    </row>
    <row r="1245" spans="1:8" ht="13.5" customHeight="1" x14ac:dyDescent="0.25">
      <c r="A1245" s="207"/>
      <c r="B1245" s="207" t="s">
        <v>2167</v>
      </c>
      <c r="C1245" s="208"/>
      <c r="D1245" s="209">
        <v>3.88</v>
      </c>
      <c r="E1245" s="210"/>
      <c r="F1245" s="209">
        <f t="shared" si="20"/>
        <v>0</v>
      </c>
      <c r="G1245" s="208"/>
      <c r="H1245" s="208"/>
    </row>
    <row r="1246" spans="1:8" ht="13.5" customHeight="1" x14ac:dyDescent="0.25">
      <c r="A1246" s="207" t="s">
        <v>2168</v>
      </c>
      <c r="B1246" s="207" t="s">
        <v>2167</v>
      </c>
      <c r="C1246" s="208"/>
      <c r="D1246" s="209">
        <v>3.16</v>
      </c>
      <c r="E1246" s="210">
        <v>120</v>
      </c>
      <c r="F1246" s="209">
        <f t="shared" si="20"/>
        <v>379.20000000000005</v>
      </c>
      <c r="G1246" s="208"/>
      <c r="H1246" s="208"/>
    </row>
    <row r="1247" spans="1:8" ht="13.5" customHeight="1" x14ac:dyDescent="0.25">
      <c r="A1247" s="207" t="s">
        <v>2169</v>
      </c>
      <c r="B1247" s="207" t="s">
        <v>1701</v>
      </c>
      <c r="C1247" s="208"/>
      <c r="D1247" s="209">
        <v>46.036999999999999</v>
      </c>
      <c r="E1247" s="210">
        <v>1.8</v>
      </c>
      <c r="F1247" s="209">
        <f t="shared" si="20"/>
        <v>82.866600000000005</v>
      </c>
      <c r="G1247" s="211" t="s">
        <v>778</v>
      </c>
      <c r="H1247" s="208"/>
    </row>
    <row r="1248" spans="1:8" ht="13.5" customHeight="1" x14ac:dyDescent="0.25">
      <c r="A1248" s="207" t="s">
        <v>2170</v>
      </c>
      <c r="B1248" s="207" t="s">
        <v>1701</v>
      </c>
      <c r="C1248" s="208"/>
      <c r="D1248" s="209">
        <v>6.16</v>
      </c>
      <c r="E1248" s="210">
        <v>1</v>
      </c>
      <c r="F1248" s="209">
        <f t="shared" si="20"/>
        <v>6.16</v>
      </c>
      <c r="G1248" s="211" t="s">
        <v>767</v>
      </c>
      <c r="H1248" s="208"/>
    </row>
    <row r="1249" spans="1:8" ht="13.5" customHeight="1" x14ac:dyDescent="0.25">
      <c r="A1249" s="207" t="s">
        <v>2171</v>
      </c>
      <c r="B1249" s="208"/>
      <c r="C1249" s="208" t="s">
        <v>1343</v>
      </c>
      <c r="D1249" s="209">
        <v>4.74</v>
      </c>
      <c r="E1249" s="210">
        <v>2</v>
      </c>
      <c r="F1249" s="209">
        <f t="shared" si="20"/>
        <v>9.48</v>
      </c>
      <c r="G1249" s="211" t="s">
        <v>767</v>
      </c>
      <c r="H1249" s="208"/>
    </row>
    <row r="1250" spans="1:8" ht="13.5" customHeight="1" x14ac:dyDescent="0.25">
      <c r="A1250" s="211" t="s">
        <v>2172</v>
      </c>
      <c r="B1250" s="207" t="s">
        <v>1701</v>
      </c>
      <c r="C1250" s="208"/>
      <c r="D1250" s="209">
        <v>21</v>
      </c>
      <c r="E1250" s="210">
        <v>2.2999999999999998</v>
      </c>
      <c r="F1250" s="209">
        <f t="shared" si="20"/>
        <v>48.3</v>
      </c>
      <c r="G1250" s="208" t="s">
        <v>767</v>
      </c>
      <c r="H1250" s="208"/>
    </row>
    <row r="1251" spans="1:8" ht="13.5" customHeight="1" x14ac:dyDescent="0.25">
      <c r="A1251" s="211" t="s">
        <v>2173</v>
      </c>
      <c r="B1251" s="207" t="s">
        <v>1701</v>
      </c>
      <c r="C1251" s="208"/>
      <c r="D1251" s="209"/>
      <c r="E1251" s="210">
        <v>2.2999999999999998</v>
      </c>
      <c r="F1251" s="209">
        <f t="shared" si="20"/>
        <v>0</v>
      </c>
      <c r="G1251" s="208"/>
      <c r="H1251" s="208"/>
    </row>
    <row r="1252" spans="1:8" ht="13.5" customHeight="1" x14ac:dyDescent="0.25">
      <c r="A1252" s="207" t="s">
        <v>40</v>
      </c>
      <c r="B1252" s="207" t="s">
        <v>1701</v>
      </c>
      <c r="C1252" s="208"/>
      <c r="D1252" s="209">
        <v>46.43</v>
      </c>
      <c r="E1252" s="210"/>
      <c r="F1252" s="209">
        <f t="shared" si="20"/>
        <v>0</v>
      </c>
      <c r="G1252" s="208"/>
      <c r="H1252" s="208"/>
    </row>
    <row r="1253" spans="1:8" ht="13.5" customHeight="1" x14ac:dyDescent="0.25">
      <c r="A1253" s="207" t="s">
        <v>2174</v>
      </c>
      <c r="B1253" s="207" t="s">
        <v>1701</v>
      </c>
      <c r="C1253" s="208"/>
      <c r="D1253" s="209">
        <v>76.09</v>
      </c>
      <c r="E1253" s="210">
        <v>1</v>
      </c>
      <c r="F1253" s="209">
        <f t="shared" si="20"/>
        <v>76.09</v>
      </c>
      <c r="G1253" s="208"/>
      <c r="H1253" s="208"/>
    </row>
    <row r="1254" spans="1:8" ht="13.5" customHeight="1" x14ac:dyDescent="0.25">
      <c r="A1254" s="207" t="s">
        <v>2175</v>
      </c>
      <c r="B1254" s="208"/>
      <c r="C1254" s="208"/>
      <c r="D1254" s="209">
        <v>114</v>
      </c>
      <c r="E1254" s="210">
        <v>0.5</v>
      </c>
      <c r="F1254" s="209">
        <f t="shared" si="20"/>
        <v>57</v>
      </c>
      <c r="G1254" s="211" t="s">
        <v>767</v>
      </c>
      <c r="H1254" s="208"/>
    </row>
    <row r="1255" spans="1:8" ht="13.5" customHeight="1" x14ac:dyDescent="0.25">
      <c r="A1255" s="230" t="s">
        <v>2176</v>
      </c>
      <c r="B1255" s="208"/>
      <c r="C1255" s="208" t="s">
        <v>2177</v>
      </c>
      <c r="D1255" s="209">
        <v>44.38</v>
      </c>
      <c r="E1255" s="210">
        <v>1</v>
      </c>
      <c r="F1255" s="209">
        <f t="shared" si="20"/>
        <v>44.38</v>
      </c>
      <c r="G1255" s="208" t="s">
        <v>767</v>
      </c>
      <c r="H1255" s="208"/>
    </row>
    <row r="1256" spans="1:8" ht="13.5" customHeight="1" x14ac:dyDescent="0.25">
      <c r="A1256" s="207" t="s">
        <v>2178</v>
      </c>
      <c r="B1256" s="207" t="s">
        <v>1701</v>
      </c>
      <c r="C1256" s="208"/>
      <c r="D1256" s="209">
        <v>9.25</v>
      </c>
      <c r="E1256" s="210">
        <v>16</v>
      </c>
      <c r="F1256" s="209">
        <f t="shared" si="20"/>
        <v>148</v>
      </c>
      <c r="G1256" s="207" t="s">
        <v>767</v>
      </c>
      <c r="H1256" s="208"/>
    </row>
    <row r="1257" spans="1:8" ht="13.5" customHeight="1" x14ac:dyDescent="0.25">
      <c r="A1257" s="207" t="s">
        <v>2179</v>
      </c>
      <c r="B1257" s="207" t="s">
        <v>1701</v>
      </c>
      <c r="C1257" s="208"/>
      <c r="D1257" s="209">
        <v>6.7</v>
      </c>
      <c r="E1257" s="210">
        <v>19</v>
      </c>
      <c r="F1257" s="209">
        <f t="shared" si="20"/>
        <v>127.3</v>
      </c>
      <c r="G1257" s="211" t="s">
        <v>767</v>
      </c>
      <c r="H1257" s="208"/>
    </row>
    <row r="1258" spans="1:8" ht="13.5" customHeight="1" x14ac:dyDescent="0.25">
      <c r="A1258" s="207" t="s">
        <v>2180</v>
      </c>
      <c r="B1258" s="207" t="s">
        <v>1701</v>
      </c>
      <c r="C1258" s="208"/>
      <c r="D1258" s="209">
        <v>7.8</v>
      </c>
      <c r="E1258" s="210"/>
      <c r="F1258" s="209">
        <f t="shared" si="20"/>
        <v>0</v>
      </c>
      <c r="G1258" s="208"/>
      <c r="H1258" s="208"/>
    </row>
    <row r="1259" spans="1:8" ht="13.5" customHeight="1" x14ac:dyDescent="0.25">
      <c r="A1259" s="207" t="s">
        <v>81</v>
      </c>
      <c r="B1259" s="207" t="s">
        <v>1701</v>
      </c>
      <c r="C1259" s="208"/>
      <c r="D1259" s="209">
        <v>10.53</v>
      </c>
      <c r="E1259" s="210">
        <v>1</v>
      </c>
      <c r="F1259" s="209">
        <f t="shared" si="20"/>
        <v>10.53</v>
      </c>
      <c r="G1259" s="208" t="s">
        <v>767</v>
      </c>
      <c r="H1259" s="208"/>
    </row>
    <row r="1260" spans="1:8" ht="13.5" customHeight="1" x14ac:dyDescent="0.25">
      <c r="A1260" s="207" t="s">
        <v>2181</v>
      </c>
      <c r="B1260" s="207" t="s">
        <v>1701</v>
      </c>
      <c r="C1260" s="208"/>
      <c r="D1260" s="209">
        <v>14.6</v>
      </c>
      <c r="E1260" s="210">
        <v>0.5</v>
      </c>
      <c r="F1260" s="209">
        <f t="shared" si="20"/>
        <v>7.3</v>
      </c>
      <c r="G1260" s="208" t="s">
        <v>767</v>
      </c>
      <c r="H1260" s="208"/>
    </row>
    <row r="1261" spans="1:8" ht="13.5" customHeight="1" x14ac:dyDescent="0.25">
      <c r="A1261" s="207" t="s">
        <v>93</v>
      </c>
      <c r="B1261" s="207" t="s">
        <v>1701</v>
      </c>
      <c r="C1261" s="208"/>
      <c r="D1261" s="209">
        <v>16.940000000000001</v>
      </c>
      <c r="E1261" s="210">
        <v>0.75</v>
      </c>
      <c r="F1261" s="209">
        <f t="shared" si="20"/>
        <v>12.705000000000002</v>
      </c>
      <c r="G1261" s="208" t="s">
        <v>767</v>
      </c>
      <c r="H1261" s="208"/>
    </row>
    <row r="1262" spans="1:8" ht="13.5" customHeight="1" x14ac:dyDescent="0.25">
      <c r="A1262" s="207" t="s">
        <v>2182</v>
      </c>
      <c r="B1262" s="208"/>
      <c r="C1262" s="208"/>
      <c r="D1262" s="209">
        <v>23.63</v>
      </c>
      <c r="E1262" s="210">
        <v>0.3</v>
      </c>
      <c r="F1262" s="209">
        <f t="shared" si="20"/>
        <v>7.0889999999999995</v>
      </c>
      <c r="G1262" s="208"/>
      <c r="H1262" s="208"/>
    </row>
    <row r="1263" spans="1:8" ht="13.5" customHeight="1" x14ac:dyDescent="0.25">
      <c r="A1263" s="207" t="s">
        <v>2183</v>
      </c>
      <c r="B1263" s="208"/>
      <c r="C1263" s="208"/>
      <c r="D1263" s="209">
        <v>44.31</v>
      </c>
      <c r="E1263" s="210">
        <v>1</v>
      </c>
      <c r="F1263" s="209">
        <f t="shared" si="20"/>
        <v>44.31</v>
      </c>
      <c r="G1263" s="208"/>
      <c r="H1263" s="208"/>
    </row>
    <row r="1264" spans="1:8" ht="13.5" customHeight="1" x14ac:dyDescent="0.25">
      <c r="A1264" s="207" t="s">
        <v>2184</v>
      </c>
      <c r="B1264" s="208"/>
      <c r="C1264" s="208">
        <v>10</v>
      </c>
      <c r="D1264" s="209">
        <v>62.02</v>
      </c>
      <c r="E1264" s="210">
        <v>0.6</v>
      </c>
      <c r="F1264" s="209">
        <f t="shared" si="20"/>
        <v>37.212000000000003</v>
      </c>
      <c r="G1264" s="211" t="s">
        <v>900</v>
      </c>
      <c r="H1264" s="208"/>
    </row>
    <row r="1265" spans="1:8" ht="13.5" customHeight="1" x14ac:dyDescent="0.25">
      <c r="A1265" s="207" t="s">
        <v>2185</v>
      </c>
      <c r="B1265" s="208"/>
      <c r="C1265" s="208">
        <v>25</v>
      </c>
      <c r="D1265" s="213">
        <v>67.78</v>
      </c>
      <c r="E1265" s="210">
        <v>0.5</v>
      </c>
      <c r="F1265" s="209">
        <f t="shared" si="20"/>
        <v>33.89</v>
      </c>
      <c r="G1265" s="211" t="s">
        <v>900</v>
      </c>
      <c r="H1265" s="208"/>
    </row>
    <row r="1266" spans="1:8" ht="13.5" customHeight="1" x14ac:dyDescent="0.25">
      <c r="A1266" s="207" t="s">
        <v>2186</v>
      </c>
      <c r="B1266" s="208"/>
      <c r="C1266" s="208"/>
      <c r="D1266" s="213">
        <v>84.64</v>
      </c>
      <c r="E1266" s="210">
        <v>0</v>
      </c>
      <c r="F1266" s="209">
        <f t="shared" si="20"/>
        <v>0</v>
      </c>
      <c r="G1266" s="211" t="s">
        <v>778</v>
      </c>
      <c r="H1266" s="208"/>
    </row>
    <row r="1267" spans="1:8" ht="13.5" customHeight="1" x14ac:dyDescent="0.25">
      <c r="A1267" s="207" t="s">
        <v>2187</v>
      </c>
      <c r="B1267" s="207" t="s">
        <v>1701</v>
      </c>
      <c r="C1267" s="208"/>
      <c r="D1267" s="213">
        <v>79.63</v>
      </c>
      <c r="E1267" s="210">
        <v>0.6</v>
      </c>
      <c r="F1267" s="209">
        <f t="shared" si="20"/>
        <v>47.777999999999999</v>
      </c>
      <c r="G1267" s="211" t="s">
        <v>974</v>
      </c>
      <c r="H1267" s="208"/>
    </row>
    <row r="1268" spans="1:8" ht="13.5" customHeight="1" x14ac:dyDescent="0.25">
      <c r="A1268" s="207" t="s">
        <v>2188</v>
      </c>
      <c r="B1268" s="208"/>
      <c r="C1268" s="208"/>
      <c r="D1268" s="209">
        <v>34.950000000000003</v>
      </c>
      <c r="E1268" s="210"/>
      <c r="F1268" s="209">
        <f t="shared" si="20"/>
        <v>0</v>
      </c>
      <c r="G1268" s="207" t="s">
        <v>778</v>
      </c>
      <c r="H1268" s="208"/>
    </row>
    <row r="1269" spans="1:8" ht="13.5" customHeight="1" x14ac:dyDescent="0.25">
      <c r="A1269" s="207" t="s">
        <v>2189</v>
      </c>
      <c r="B1269" s="207" t="s">
        <v>1701</v>
      </c>
      <c r="C1269" s="208" t="s">
        <v>2190</v>
      </c>
      <c r="D1269" s="209">
        <v>10.199999999999999</v>
      </c>
      <c r="E1269" s="210">
        <v>1</v>
      </c>
      <c r="F1269" s="209">
        <f t="shared" si="20"/>
        <v>10.199999999999999</v>
      </c>
      <c r="G1269" s="208" t="s">
        <v>974</v>
      </c>
      <c r="H1269" s="208"/>
    </row>
    <row r="1270" spans="1:8" ht="13.5" customHeight="1" x14ac:dyDescent="0.25">
      <c r="A1270" s="207" t="s">
        <v>2191</v>
      </c>
      <c r="B1270" s="207" t="s">
        <v>1701</v>
      </c>
      <c r="C1270" s="208"/>
      <c r="D1270" s="209">
        <v>11.4</v>
      </c>
      <c r="E1270" s="210">
        <v>1</v>
      </c>
      <c r="F1270" s="209">
        <f t="shared" si="20"/>
        <v>11.4</v>
      </c>
      <c r="G1270" s="211" t="s">
        <v>974</v>
      </c>
      <c r="H1270" s="208"/>
    </row>
    <row r="1271" spans="1:8" ht="13.5" customHeight="1" x14ac:dyDescent="0.25">
      <c r="A1271" s="207" t="s">
        <v>2192</v>
      </c>
      <c r="B1271" s="207" t="s">
        <v>1701</v>
      </c>
      <c r="C1271" s="208">
        <v>7</v>
      </c>
      <c r="D1271" s="209">
        <v>74.489999999999995</v>
      </c>
      <c r="E1271" s="210"/>
      <c r="F1271" s="209">
        <f t="shared" si="20"/>
        <v>0</v>
      </c>
      <c r="G1271" s="208"/>
      <c r="H1271" s="208"/>
    </row>
    <row r="1272" spans="1:8" ht="13.5" customHeight="1" x14ac:dyDescent="0.25">
      <c r="A1272" s="207" t="s">
        <v>2193</v>
      </c>
      <c r="B1272" s="207" t="s">
        <v>1701</v>
      </c>
      <c r="C1272" s="208"/>
      <c r="D1272" s="209">
        <v>4.68</v>
      </c>
      <c r="E1272" s="210"/>
      <c r="F1272" s="209">
        <f t="shared" si="20"/>
        <v>0</v>
      </c>
      <c r="G1272" s="208"/>
      <c r="H1272" s="208"/>
    </row>
    <row r="1273" spans="1:8" ht="13.5" customHeight="1" x14ac:dyDescent="0.25">
      <c r="A1273" s="207" t="s">
        <v>106</v>
      </c>
      <c r="B1273" s="207" t="s">
        <v>1701</v>
      </c>
      <c r="C1273" s="208"/>
      <c r="D1273" s="209">
        <v>31.88</v>
      </c>
      <c r="E1273" s="210"/>
      <c r="F1273" s="209">
        <f t="shared" si="20"/>
        <v>0</v>
      </c>
      <c r="G1273" s="208"/>
      <c r="H1273" s="208"/>
    </row>
    <row r="1274" spans="1:8" ht="13.5" customHeight="1" x14ac:dyDescent="0.25">
      <c r="A1274" s="207" t="s">
        <v>2194</v>
      </c>
      <c r="B1274" s="207" t="s">
        <v>1701</v>
      </c>
      <c r="C1274" s="208"/>
      <c r="D1274" s="209">
        <v>4.03</v>
      </c>
      <c r="E1274" s="210"/>
      <c r="F1274" s="209">
        <f t="shared" si="20"/>
        <v>0</v>
      </c>
      <c r="G1274" s="208"/>
      <c r="H1274" s="208"/>
    </row>
    <row r="1275" spans="1:8" ht="13.5" customHeight="1" x14ac:dyDescent="0.25">
      <c r="A1275" s="207" t="s">
        <v>2195</v>
      </c>
      <c r="B1275" s="207" t="s">
        <v>1701</v>
      </c>
      <c r="C1275" s="208"/>
      <c r="D1275" s="209">
        <v>124.39</v>
      </c>
      <c r="E1275" s="210"/>
      <c r="F1275" s="209">
        <f t="shared" si="20"/>
        <v>0</v>
      </c>
      <c r="G1275" s="208"/>
      <c r="H1275" s="208"/>
    </row>
    <row r="1276" spans="1:8" ht="18.95" customHeight="1" x14ac:dyDescent="0.25">
      <c r="A1276" s="207" t="s">
        <v>2196</v>
      </c>
      <c r="B1276" s="208"/>
      <c r="C1276" s="208"/>
      <c r="D1276" s="209">
        <v>2.63</v>
      </c>
      <c r="E1276" s="210"/>
      <c r="F1276" s="209">
        <f t="shared" si="20"/>
        <v>0</v>
      </c>
      <c r="G1276" s="208"/>
      <c r="H1276" s="208"/>
    </row>
    <row r="1277" spans="1:8" ht="18.95" customHeight="1" x14ac:dyDescent="0.25">
      <c r="A1277" s="207" t="s">
        <v>108</v>
      </c>
      <c r="B1277" s="207" t="s">
        <v>1701</v>
      </c>
      <c r="C1277" s="208"/>
      <c r="D1277" s="209">
        <v>5.49</v>
      </c>
      <c r="E1277" s="208"/>
      <c r="F1277" s="209">
        <f t="shared" si="20"/>
        <v>0</v>
      </c>
      <c r="G1277" s="208"/>
      <c r="H1277" s="208"/>
    </row>
    <row r="1278" spans="1:8" ht="18" customHeight="1" x14ac:dyDescent="0.25">
      <c r="A1278" s="207" t="s">
        <v>2197</v>
      </c>
      <c r="B1278" s="207" t="s">
        <v>1701</v>
      </c>
      <c r="C1278" s="208"/>
      <c r="D1278" s="209">
        <v>122.57</v>
      </c>
      <c r="E1278" s="210"/>
      <c r="F1278" s="209">
        <f t="shared" si="20"/>
        <v>0</v>
      </c>
      <c r="G1278" s="208"/>
      <c r="H1278" s="208"/>
    </row>
    <row r="1279" spans="1:8" ht="12" customHeight="1" x14ac:dyDescent="0.25">
      <c r="A1279" s="208"/>
      <c r="B1279" s="208"/>
      <c r="C1279" s="208"/>
      <c r="D1279" s="209"/>
      <c r="E1279" s="210"/>
      <c r="F1279" s="209">
        <f t="shared" si="20"/>
        <v>0</v>
      </c>
      <c r="G1279" s="208"/>
      <c r="H1279" s="208"/>
    </row>
    <row r="1280" spans="1:8" ht="13.5" customHeight="1" x14ac:dyDescent="0.25">
      <c r="A1280" s="207" t="s">
        <v>2198</v>
      </c>
      <c r="B1280" s="207" t="s">
        <v>1701</v>
      </c>
      <c r="C1280" s="208"/>
      <c r="D1280" s="209">
        <v>2.78</v>
      </c>
      <c r="E1280" s="210"/>
      <c r="F1280" s="209">
        <f t="shared" si="20"/>
        <v>0</v>
      </c>
      <c r="G1280" s="208"/>
      <c r="H1280" s="208"/>
    </row>
    <row r="1281" spans="1:8" ht="13.5" customHeight="1" x14ac:dyDescent="0.25">
      <c r="A1281" s="207" t="s">
        <v>136</v>
      </c>
      <c r="B1281" s="207" t="s">
        <v>1701</v>
      </c>
      <c r="C1281" s="208"/>
      <c r="D1281" s="209">
        <v>6.39</v>
      </c>
      <c r="E1281" s="210"/>
      <c r="F1281" s="209">
        <f t="shared" si="20"/>
        <v>0</v>
      </c>
      <c r="G1281" s="207" t="s">
        <v>917</v>
      </c>
      <c r="H1281" s="208"/>
    </row>
    <row r="1282" spans="1:8" ht="13.5" customHeight="1" x14ac:dyDescent="0.25">
      <c r="A1282" s="207" t="s">
        <v>141</v>
      </c>
      <c r="B1282" s="207" t="s">
        <v>1701</v>
      </c>
      <c r="C1282" s="208"/>
      <c r="D1282" s="209">
        <v>2.5099999999999998</v>
      </c>
      <c r="E1282" s="210"/>
      <c r="F1282" s="209">
        <f t="shared" si="20"/>
        <v>0</v>
      </c>
      <c r="G1282" s="207" t="s">
        <v>778</v>
      </c>
      <c r="H1282" s="208"/>
    </row>
    <row r="1283" spans="1:8" ht="13.5" customHeight="1" x14ac:dyDescent="0.25">
      <c r="A1283" s="207" t="s">
        <v>143</v>
      </c>
      <c r="B1283" s="207" t="s">
        <v>1701</v>
      </c>
      <c r="C1283" s="208"/>
      <c r="D1283" s="209">
        <v>5.95</v>
      </c>
      <c r="E1283" s="210"/>
      <c r="F1283" s="209">
        <f t="shared" si="20"/>
        <v>0</v>
      </c>
      <c r="G1283" s="208"/>
      <c r="H1283" s="208"/>
    </row>
    <row r="1284" spans="1:8" ht="13.5" customHeight="1" x14ac:dyDescent="0.25">
      <c r="A1284" s="207" t="s">
        <v>2199</v>
      </c>
      <c r="B1284" s="211" t="s">
        <v>2117</v>
      </c>
      <c r="C1284" s="207" t="s">
        <v>2200</v>
      </c>
      <c r="D1284" s="213">
        <v>33.229999999999997</v>
      </c>
      <c r="E1284" s="210">
        <v>2</v>
      </c>
      <c r="F1284" s="209">
        <f t="shared" si="20"/>
        <v>66.459999999999994</v>
      </c>
      <c r="G1284" s="211" t="s">
        <v>767</v>
      </c>
      <c r="H1284" s="208"/>
    </row>
    <row r="1285" spans="1:8" ht="13.5" customHeight="1" x14ac:dyDescent="0.25">
      <c r="A1285" s="207" t="s">
        <v>152</v>
      </c>
      <c r="B1285" s="207" t="s">
        <v>1701</v>
      </c>
      <c r="C1285" s="208"/>
      <c r="D1285" s="209">
        <v>138.49</v>
      </c>
      <c r="E1285" s="210">
        <v>0.4</v>
      </c>
      <c r="F1285" s="209">
        <f t="shared" si="20"/>
        <v>55.396000000000008</v>
      </c>
      <c r="G1285" s="211" t="s">
        <v>767</v>
      </c>
      <c r="H1285" s="208"/>
    </row>
    <row r="1286" spans="1:8" ht="13.5" customHeight="1" x14ac:dyDescent="0.25">
      <c r="A1286" s="207" t="s">
        <v>2201</v>
      </c>
      <c r="B1286" s="207" t="s">
        <v>1701</v>
      </c>
      <c r="C1286" s="208"/>
      <c r="D1286" s="209">
        <v>157.76</v>
      </c>
      <c r="E1286" s="210"/>
      <c r="F1286" s="209">
        <f t="shared" ref="F1286:F1350" si="21">D1286*E1286</f>
        <v>0</v>
      </c>
      <c r="G1286" s="208"/>
      <c r="H1286" s="208"/>
    </row>
    <row r="1287" spans="1:8" ht="13.5" customHeight="1" x14ac:dyDescent="0.25">
      <c r="A1287" s="207" t="s">
        <v>2202</v>
      </c>
      <c r="B1287" s="207" t="s">
        <v>1701</v>
      </c>
      <c r="C1287" s="208"/>
      <c r="D1287" s="209">
        <v>39.130000000000003</v>
      </c>
      <c r="E1287" s="210">
        <v>0.75</v>
      </c>
      <c r="F1287" s="209">
        <f t="shared" si="21"/>
        <v>29.347500000000004</v>
      </c>
      <c r="G1287" s="214" t="s">
        <v>767</v>
      </c>
      <c r="H1287" s="208"/>
    </row>
    <row r="1288" spans="1:8" ht="13.5" customHeight="1" x14ac:dyDescent="0.25">
      <c r="A1288" s="207" t="s">
        <v>2203</v>
      </c>
      <c r="B1288" s="207" t="s">
        <v>1701</v>
      </c>
      <c r="C1288" s="208"/>
      <c r="D1288" s="209">
        <v>12.11</v>
      </c>
      <c r="E1288" s="210"/>
      <c r="F1288" s="209">
        <f t="shared" si="21"/>
        <v>0</v>
      </c>
      <c r="G1288" s="208"/>
      <c r="H1288" s="208"/>
    </row>
    <row r="1289" spans="1:8" ht="13.5" customHeight="1" x14ac:dyDescent="0.25">
      <c r="A1289" s="207" t="s">
        <v>2204</v>
      </c>
      <c r="B1289" s="207" t="s">
        <v>1701</v>
      </c>
      <c r="C1289" s="208"/>
      <c r="D1289" s="209">
        <v>85</v>
      </c>
      <c r="E1289" s="210"/>
      <c r="F1289" s="209">
        <f t="shared" si="21"/>
        <v>0</v>
      </c>
      <c r="G1289" s="208"/>
      <c r="H1289" s="208"/>
    </row>
    <row r="1290" spans="1:8" ht="13.5" customHeight="1" x14ac:dyDescent="0.25">
      <c r="A1290" s="207" t="s">
        <v>2205</v>
      </c>
      <c r="B1290" s="207" t="s">
        <v>1701</v>
      </c>
      <c r="C1290" s="208"/>
      <c r="D1290" s="209">
        <v>5.8093000000000004</v>
      </c>
      <c r="E1290" s="210">
        <v>9</v>
      </c>
      <c r="F1290" s="209">
        <f t="shared" si="21"/>
        <v>52.283700000000003</v>
      </c>
      <c r="G1290" s="208"/>
      <c r="H1290" s="208"/>
    </row>
    <row r="1291" spans="1:8" ht="13.5" customHeight="1" x14ac:dyDescent="0.25">
      <c r="A1291" s="207" t="s">
        <v>225</v>
      </c>
      <c r="B1291" s="207" t="s">
        <v>1701</v>
      </c>
      <c r="C1291" s="208"/>
      <c r="D1291" s="209">
        <v>13.64</v>
      </c>
      <c r="E1291" s="210"/>
      <c r="F1291" s="209">
        <f t="shared" si="21"/>
        <v>0</v>
      </c>
      <c r="G1291" s="208"/>
      <c r="H1291" s="208"/>
    </row>
    <row r="1292" spans="1:8" ht="13.5" customHeight="1" x14ac:dyDescent="0.25">
      <c r="A1292" s="207" t="s">
        <v>2206</v>
      </c>
      <c r="B1292" s="207" t="s">
        <v>1701</v>
      </c>
      <c r="C1292" s="208"/>
      <c r="D1292" s="209">
        <v>41.68</v>
      </c>
      <c r="E1292" s="210"/>
      <c r="F1292" s="209">
        <f t="shared" si="21"/>
        <v>0</v>
      </c>
      <c r="G1292" s="208"/>
      <c r="H1292" s="208"/>
    </row>
    <row r="1293" spans="1:8" ht="13.5" customHeight="1" x14ac:dyDescent="0.25">
      <c r="A1293" s="207" t="s">
        <v>2207</v>
      </c>
      <c r="B1293" s="207" t="s">
        <v>1701</v>
      </c>
      <c r="C1293" s="208"/>
      <c r="D1293" s="209">
        <v>2.5099999999999998</v>
      </c>
      <c r="E1293" s="210"/>
      <c r="F1293" s="209">
        <f t="shared" si="21"/>
        <v>0</v>
      </c>
      <c r="G1293" s="208"/>
      <c r="H1293" s="208"/>
    </row>
    <row r="1294" spans="1:8" ht="13.5" customHeight="1" x14ac:dyDescent="0.25">
      <c r="A1294" s="207" t="s">
        <v>2208</v>
      </c>
      <c r="B1294" s="207" t="s">
        <v>1701</v>
      </c>
      <c r="C1294" s="208"/>
      <c r="D1294" s="209">
        <v>1.49</v>
      </c>
      <c r="E1294" s="210"/>
      <c r="F1294" s="209">
        <f t="shared" si="21"/>
        <v>0</v>
      </c>
      <c r="G1294" s="208"/>
      <c r="H1294" s="208"/>
    </row>
    <row r="1295" spans="1:8" ht="13.5" customHeight="1" x14ac:dyDescent="0.25">
      <c r="A1295" s="207" t="s">
        <v>2209</v>
      </c>
      <c r="B1295" s="208"/>
      <c r="C1295" s="208"/>
      <c r="D1295" s="209">
        <v>5.28</v>
      </c>
      <c r="E1295" s="210">
        <v>2</v>
      </c>
      <c r="F1295" s="209">
        <f t="shared" si="21"/>
        <v>10.56</v>
      </c>
      <c r="G1295" s="208"/>
      <c r="H1295" s="208"/>
    </row>
    <row r="1296" spans="1:8" ht="13.5" customHeight="1" x14ac:dyDescent="0.25">
      <c r="A1296" s="207" t="s">
        <v>2210</v>
      </c>
      <c r="B1296" s="208"/>
      <c r="C1296" s="208"/>
      <c r="D1296" s="209">
        <v>6.61</v>
      </c>
      <c r="E1296" s="210">
        <v>2</v>
      </c>
      <c r="F1296" s="209">
        <f t="shared" si="21"/>
        <v>13.22</v>
      </c>
      <c r="G1296" s="208"/>
      <c r="H1296" s="208"/>
    </row>
    <row r="1297" spans="1:8" ht="13.5" customHeight="1" x14ac:dyDescent="0.25">
      <c r="A1297" s="207" t="s">
        <v>2211</v>
      </c>
      <c r="B1297" s="208"/>
      <c r="C1297" s="208"/>
      <c r="D1297" s="209">
        <v>2.64</v>
      </c>
      <c r="E1297" s="210"/>
      <c r="F1297" s="209">
        <f t="shared" si="21"/>
        <v>0</v>
      </c>
      <c r="G1297" s="207" t="s">
        <v>778</v>
      </c>
      <c r="H1297" s="208"/>
    </row>
    <row r="1298" spans="1:8" ht="13.5" customHeight="1" x14ac:dyDescent="0.25">
      <c r="A1298" s="207" t="s">
        <v>2212</v>
      </c>
      <c r="B1298" s="208"/>
      <c r="C1298" s="208"/>
      <c r="D1298" s="209">
        <v>24.03</v>
      </c>
      <c r="E1298" s="210"/>
      <c r="F1298" s="209">
        <f t="shared" si="21"/>
        <v>0</v>
      </c>
      <c r="G1298" s="208"/>
      <c r="H1298" s="208"/>
    </row>
    <row r="1299" spans="1:8" ht="13.5" customHeight="1" x14ac:dyDescent="0.25">
      <c r="A1299" s="207" t="s">
        <v>236</v>
      </c>
      <c r="B1299" s="207" t="s">
        <v>1701</v>
      </c>
      <c r="C1299" s="208"/>
      <c r="D1299" s="209">
        <v>23.37</v>
      </c>
      <c r="E1299" s="210">
        <v>4</v>
      </c>
      <c r="F1299" s="209">
        <f t="shared" si="21"/>
        <v>93.48</v>
      </c>
      <c r="G1299" s="211" t="s">
        <v>767</v>
      </c>
      <c r="H1299" s="208"/>
    </row>
    <row r="1300" spans="1:8" ht="13.5" customHeight="1" x14ac:dyDescent="0.25">
      <c r="A1300" s="207" t="s">
        <v>2213</v>
      </c>
      <c r="B1300" s="207" t="s">
        <v>1701</v>
      </c>
      <c r="C1300" s="208"/>
      <c r="D1300" s="209">
        <v>8.81</v>
      </c>
      <c r="E1300" s="210"/>
      <c r="F1300" s="209">
        <f t="shared" si="21"/>
        <v>0</v>
      </c>
      <c r="G1300" s="208"/>
      <c r="H1300" s="208"/>
    </row>
    <row r="1301" spans="1:8" ht="13.5" customHeight="1" x14ac:dyDescent="0.25">
      <c r="A1301" s="207" t="s">
        <v>254</v>
      </c>
      <c r="B1301" s="207" t="s">
        <v>1701</v>
      </c>
      <c r="C1301" s="208"/>
      <c r="D1301" s="209">
        <v>8.4</v>
      </c>
      <c r="E1301" s="210">
        <v>1</v>
      </c>
      <c r="F1301" s="209">
        <f t="shared" si="21"/>
        <v>8.4</v>
      </c>
      <c r="G1301" s="207" t="s">
        <v>778</v>
      </c>
      <c r="H1301" s="208"/>
    </row>
    <row r="1302" spans="1:8" ht="13.5" customHeight="1" x14ac:dyDescent="0.25">
      <c r="A1302" s="207" t="s">
        <v>2214</v>
      </c>
      <c r="B1302" s="208"/>
      <c r="C1302" s="207" t="s">
        <v>896</v>
      </c>
      <c r="D1302" s="209">
        <v>11.42</v>
      </c>
      <c r="E1302" s="210"/>
      <c r="F1302" s="209">
        <f t="shared" si="21"/>
        <v>0</v>
      </c>
      <c r="G1302" s="208"/>
      <c r="H1302" s="208"/>
    </row>
    <row r="1303" spans="1:8" ht="13.5" customHeight="1" x14ac:dyDescent="0.25">
      <c r="A1303" s="207" t="s">
        <v>263</v>
      </c>
      <c r="B1303" s="207" t="s">
        <v>1701</v>
      </c>
      <c r="C1303" s="208"/>
      <c r="D1303" s="209">
        <v>9.8963000000000001</v>
      </c>
      <c r="E1303" s="210"/>
      <c r="F1303" s="209">
        <f t="shared" si="21"/>
        <v>0</v>
      </c>
      <c r="G1303" s="211" t="s">
        <v>767</v>
      </c>
      <c r="H1303" s="208"/>
    </row>
    <row r="1304" spans="1:8" ht="13.5" customHeight="1" x14ac:dyDescent="0.25">
      <c r="A1304" s="207" t="s">
        <v>2215</v>
      </c>
      <c r="B1304" s="207" t="s">
        <v>1701</v>
      </c>
      <c r="C1304" s="208"/>
      <c r="D1304" s="209">
        <v>6.1</v>
      </c>
      <c r="E1304" s="210">
        <v>1</v>
      </c>
      <c r="F1304" s="209">
        <f t="shared" si="21"/>
        <v>6.1</v>
      </c>
      <c r="G1304" s="208"/>
      <c r="H1304" s="208"/>
    </row>
    <row r="1305" spans="1:8" ht="13.5" customHeight="1" x14ac:dyDescent="0.25">
      <c r="A1305" s="207" t="s">
        <v>266</v>
      </c>
      <c r="B1305" s="207" t="s">
        <v>1701</v>
      </c>
      <c r="C1305" s="208"/>
      <c r="D1305" s="209">
        <v>3.9</v>
      </c>
      <c r="E1305" s="210"/>
      <c r="F1305" s="209">
        <f t="shared" si="21"/>
        <v>0</v>
      </c>
      <c r="G1305" s="208"/>
      <c r="H1305" s="208"/>
    </row>
    <row r="1306" spans="1:8" ht="13.5" customHeight="1" x14ac:dyDescent="0.25">
      <c r="A1306" s="207" t="s">
        <v>2216</v>
      </c>
      <c r="B1306" s="208"/>
      <c r="C1306" s="208"/>
      <c r="D1306" s="209">
        <v>3.48</v>
      </c>
      <c r="E1306" s="210">
        <v>4</v>
      </c>
      <c r="F1306" s="209">
        <f t="shared" si="21"/>
        <v>13.92</v>
      </c>
      <c r="G1306" s="207" t="s">
        <v>778</v>
      </c>
      <c r="H1306" s="208"/>
    </row>
    <row r="1307" spans="1:8" ht="13.5" customHeight="1" x14ac:dyDescent="0.25">
      <c r="A1307" s="207" t="s">
        <v>2217</v>
      </c>
      <c r="B1307" s="207" t="s">
        <v>1701</v>
      </c>
      <c r="C1307" s="208"/>
      <c r="D1307" s="209">
        <v>13.37</v>
      </c>
      <c r="E1307" s="210"/>
      <c r="F1307" s="209">
        <f t="shared" si="21"/>
        <v>0</v>
      </c>
      <c r="G1307" s="208"/>
      <c r="H1307" s="208"/>
    </row>
    <row r="1308" spans="1:8" ht="13.5" customHeight="1" x14ac:dyDescent="0.25">
      <c r="A1308" s="207" t="s">
        <v>2218</v>
      </c>
      <c r="B1308" s="208"/>
      <c r="C1308" s="207" t="s">
        <v>748</v>
      </c>
      <c r="D1308" s="209">
        <v>53.7</v>
      </c>
      <c r="E1308" s="210">
        <v>1</v>
      </c>
      <c r="F1308" s="209">
        <f t="shared" si="21"/>
        <v>53.7</v>
      </c>
      <c r="G1308" s="211" t="s">
        <v>767</v>
      </c>
      <c r="H1308" s="208"/>
    </row>
    <row r="1309" spans="1:8" ht="13.5" customHeight="1" x14ac:dyDescent="0.25">
      <c r="A1309" s="207" t="s">
        <v>2219</v>
      </c>
      <c r="B1309" s="208"/>
      <c r="C1309" s="208"/>
      <c r="D1309" s="209">
        <v>3.6</v>
      </c>
      <c r="E1309" s="210">
        <v>3</v>
      </c>
      <c r="F1309" s="209">
        <f t="shared" si="21"/>
        <v>10.8</v>
      </c>
      <c r="G1309" s="228" t="s">
        <v>1793</v>
      </c>
      <c r="H1309" s="208"/>
    </row>
    <row r="1310" spans="1:8" ht="13.5" customHeight="1" x14ac:dyDescent="0.25">
      <c r="A1310" s="207" t="s">
        <v>2220</v>
      </c>
      <c r="B1310" s="207" t="s">
        <v>1701</v>
      </c>
      <c r="C1310" s="207" t="s">
        <v>2221</v>
      </c>
      <c r="D1310" s="209">
        <v>4.1399999999999997</v>
      </c>
      <c r="E1310" s="210">
        <v>1</v>
      </c>
      <c r="F1310" s="209">
        <f t="shared" si="21"/>
        <v>4.1399999999999997</v>
      </c>
      <c r="G1310" s="211" t="s">
        <v>767</v>
      </c>
      <c r="H1310" s="208"/>
    </row>
    <row r="1311" spans="1:8" ht="13.5" customHeight="1" x14ac:dyDescent="0.25">
      <c r="A1311" s="207" t="s">
        <v>2222</v>
      </c>
      <c r="B1311" s="208"/>
      <c r="C1311" s="208">
        <v>1</v>
      </c>
      <c r="D1311" s="209">
        <v>19.53</v>
      </c>
      <c r="E1311" s="210">
        <v>3</v>
      </c>
      <c r="F1311" s="209">
        <f t="shared" si="21"/>
        <v>58.59</v>
      </c>
      <c r="G1311" s="211" t="s">
        <v>767</v>
      </c>
      <c r="H1311" s="208"/>
    </row>
    <row r="1312" spans="1:8" ht="13.5" customHeight="1" x14ac:dyDescent="0.25">
      <c r="A1312" s="207" t="s">
        <v>268</v>
      </c>
      <c r="B1312" s="207" t="s">
        <v>1701</v>
      </c>
      <c r="C1312" s="208"/>
      <c r="D1312" s="209">
        <v>12.44</v>
      </c>
      <c r="E1312" s="210"/>
      <c r="F1312" s="209">
        <f t="shared" si="21"/>
        <v>0</v>
      </c>
      <c r="G1312" s="208"/>
      <c r="H1312" s="208"/>
    </row>
    <row r="1313" spans="1:8" ht="13.5" customHeight="1" x14ac:dyDescent="0.25">
      <c r="A1313" s="207" t="s">
        <v>272</v>
      </c>
      <c r="B1313" s="207" t="s">
        <v>1701</v>
      </c>
      <c r="C1313" s="208"/>
      <c r="D1313" s="209">
        <v>11.88</v>
      </c>
      <c r="E1313" s="210"/>
      <c r="F1313" s="209">
        <f t="shared" si="21"/>
        <v>0</v>
      </c>
      <c r="G1313" s="208"/>
      <c r="H1313" s="208"/>
    </row>
    <row r="1314" spans="1:8" ht="13.5" customHeight="1" x14ac:dyDescent="0.25">
      <c r="A1314" s="207" t="s">
        <v>305</v>
      </c>
      <c r="B1314" s="207" t="s">
        <v>1701</v>
      </c>
      <c r="C1314" s="208"/>
      <c r="D1314" s="209">
        <v>3.8</v>
      </c>
      <c r="E1314" s="210"/>
      <c r="F1314" s="209">
        <f t="shared" si="21"/>
        <v>0</v>
      </c>
      <c r="G1314" s="208"/>
      <c r="H1314" s="208"/>
    </row>
    <row r="1315" spans="1:8" ht="13.5" customHeight="1" x14ac:dyDescent="0.25">
      <c r="A1315" s="207" t="s">
        <v>2223</v>
      </c>
      <c r="B1315" s="207" t="s">
        <v>1701</v>
      </c>
      <c r="C1315" s="208"/>
      <c r="D1315" s="209">
        <v>23.3461</v>
      </c>
      <c r="E1315" s="210">
        <v>0.35</v>
      </c>
      <c r="F1315" s="209">
        <f t="shared" si="21"/>
        <v>8.1711349999999996</v>
      </c>
      <c r="G1315" s="211" t="s">
        <v>767</v>
      </c>
      <c r="H1315" s="208"/>
    </row>
    <row r="1316" spans="1:8" ht="13.5" customHeight="1" x14ac:dyDescent="0.25">
      <c r="A1316" s="207" t="s">
        <v>2224</v>
      </c>
      <c r="B1316" s="208"/>
      <c r="C1316" s="208"/>
      <c r="D1316" s="209">
        <v>36.86</v>
      </c>
      <c r="E1316" s="210">
        <v>0.4</v>
      </c>
      <c r="F1316" s="209">
        <f t="shared" si="21"/>
        <v>14.744</v>
      </c>
      <c r="G1316" s="211" t="s">
        <v>767</v>
      </c>
      <c r="H1316" s="208"/>
    </row>
    <row r="1317" spans="1:8" ht="13.5" customHeight="1" x14ac:dyDescent="0.25">
      <c r="A1317" s="207" t="s">
        <v>2225</v>
      </c>
      <c r="B1317" s="207" t="s">
        <v>1701</v>
      </c>
      <c r="C1317" s="208"/>
      <c r="D1317" s="209">
        <v>35.200000000000003</v>
      </c>
      <c r="E1317" s="210">
        <v>2.4</v>
      </c>
      <c r="F1317" s="209">
        <f t="shared" si="21"/>
        <v>84.48</v>
      </c>
      <c r="G1317" s="211" t="s">
        <v>767</v>
      </c>
      <c r="H1317" s="208"/>
    </row>
    <row r="1318" spans="1:8" ht="13.5" customHeight="1" x14ac:dyDescent="0.25">
      <c r="A1318" s="207" t="s">
        <v>311</v>
      </c>
      <c r="B1318" s="207" t="s">
        <v>1701</v>
      </c>
      <c r="C1318" s="208"/>
      <c r="D1318" s="209">
        <v>51.6</v>
      </c>
      <c r="E1318" s="210">
        <v>2</v>
      </c>
      <c r="F1318" s="209">
        <f t="shared" si="21"/>
        <v>103.2</v>
      </c>
      <c r="G1318" s="211" t="s">
        <v>767</v>
      </c>
      <c r="H1318" s="208"/>
    </row>
    <row r="1319" spans="1:8" ht="13.5" customHeight="1" x14ac:dyDescent="0.25">
      <c r="A1319" s="207" t="s">
        <v>318</v>
      </c>
      <c r="B1319" s="207" t="s">
        <v>1701</v>
      </c>
      <c r="C1319" s="208"/>
      <c r="D1319" s="209">
        <v>2.91</v>
      </c>
      <c r="E1319" s="210"/>
      <c r="F1319" s="209">
        <f t="shared" si="21"/>
        <v>0</v>
      </c>
      <c r="G1319" s="214"/>
      <c r="H1319" s="208"/>
    </row>
    <row r="1320" spans="1:8" ht="13.5" customHeight="1" x14ac:dyDescent="0.25">
      <c r="A1320" s="207" t="s">
        <v>2226</v>
      </c>
      <c r="B1320" s="208"/>
      <c r="C1320" s="208"/>
      <c r="D1320" s="209">
        <v>1.82</v>
      </c>
      <c r="E1320" s="210">
        <v>17</v>
      </c>
      <c r="F1320" s="209">
        <f t="shared" si="21"/>
        <v>30.94</v>
      </c>
      <c r="G1320" s="211" t="s">
        <v>767</v>
      </c>
      <c r="H1320" s="208"/>
    </row>
    <row r="1321" spans="1:8" ht="13.5" customHeight="1" x14ac:dyDescent="0.25">
      <c r="A1321" s="207" t="s">
        <v>2227</v>
      </c>
      <c r="B1321" s="207" t="s">
        <v>1701</v>
      </c>
      <c r="C1321" s="208"/>
      <c r="D1321" s="209">
        <v>2.21</v>
      </c>
      <c r="E1321" s="210">
        <v>0.7</v>
      </c>
      <c r="F1321" s="209">
        <f t="shared" si="21"/>
        <v>1.5469999999999999</v>
      </c>
      <c r="G1321" s="208"/>
      <c r="H1321" s="208"/>
    </row>
    <row r="1322" spans="1:8" ht="13.5" customHeight="1" x14ac:dyDescent="0.25">
      <c r="A1322" s="207" t="s">
        <v>2228</v>
      </c>
      <c r="B1322" s="208"/>
      <c r="C1322" s="208"/>
      <c r="D1322" s="209">
        <v>21.9</v>
      </c>
      <c r="E1322" s="210">
        <v>0.5</v>
      </c>
      <c r="F1322" s="209">
        <f t="shared" si="21"/>
        <v>10.95</v>
      </c>
      <c r="G1322" s="211" t="s">
        <v>767</v>
      </c>
      <c r="H1322" s="208"/>
    </row>
    <row r="1323" spans="1:8" ht="13.5" customHeight="1" x14ac:dyDescent="0.25">
      <c r="A1323" s="207" t="s">
        <v>2229</v>
      </c>
      <c r="B1323" s="208"/>
      <c r="C1323" s="208"/>
      <c r="D1323" s="209">
        <v>31.9</v>
      </c>
      <c r="E1323" s="210"/>
      <c r="F1323" s="209">
        <f t="shared" si="21"/>
        <v>0</v>
      </c>
      <c r="G1323" s="208"/>
      <c r="H1323" s="208"/>
    </row>
    <row r="1324" spans="1:8" ht="13.5" customHeight="1" x14ac:dyDescent="0.25">
      <c r="A1324" s="207" t="s">
        <v>2230</v>
      </c>
      <c r="B1324" s="207" t="s">
        <v>1701</v>
      </c>
      <c r="C1324" s="208"/>
      <c r="D1324" s="209">
        <v>35.28</v>
      </c>
      <c r="E1324" s="210">
        <v>2</v>
      </c>
      <c r="F1324" s="209">
        <f t="shared" si="21"/>
        <v>70.56</v>
      </c>
      <c r="G1324" s="211" t="s">
        <v>767</v>
      </c>
      <c r="H1324" s="208"/>
    </row>
    <row r="1325" spans="1:8" ht="13.5" customHeight="1" x14ac:dyDescent="0.25">
      <c r="A1325" s="207" t="s">
        <v>338</v>
      </c>
      <c r="B1325" s="207" t="s">
        <v>1701</v>
      </c>
      <c r="C1325" s="208"/>
      <c r="D1325" s="209">
        <v>12.08</v>
      </c>
      <c r="E1325" s="210">
        <v>1</v>
      </c>
      <c r="F1325" s="209">
        <f t="shared" si="21"/>
        <v>12.08</v>
      </c>
      <c r="G1325" s="208"/>
      <c r="H1325" s="208"/>
    </row>
    <row r="1326" spans="1:8" ht="13.5" customHeight="1" x14ac:dyDescent="0.25">
      <c r="A1326" s="207" t="s">
        <v>2231</v>
      </c>
      <c r="B1326" s="207" t="s">
        <v>1701</v>
      </c>
      <c r="C1326" s="208"/>
      <c r="D1326" s="209">
        <v>22.419899999999998</v>
      </c>
      <c r="E1326" s="210">
        <v>2</v>
      </c>
      <c r="F1326" s="209">
        <f t="shared" si="21"/>
        <v>44.839799999999997</v>
      </c>
      <c r="G1326" s="207" t="s">
        <v>767</v>
      </c>
      <c r="H1326" s="208"/>
    </row>
    <row r="1327" spans="1:8" ht="13.5" customHeight="1" x14ac:dyDescent="0.25">
      <c r="A1327" s="207" t="s">
        <v>2232</v>
      </c>
      <c r="B1327" s="207"/>
      <c r="C1327" s="208"/>
      <c r="D1327" s="209"/>
      <c r="E1327" s="210">
        <v>1</v>
      </c>
      <c r="F1327" s="209">
        <f t="shared" si="21"/>
        <v>0</v>
      </c>
      <c r="G1327" s="207" t="s">
        <v>767</v>
      </c>
      <c r="H1327" s="208" t="s">
        <v>762</v>
      </c>
    </row>
    <row r="1328" spans="1:8" ht="13.5" customHeight="1" x14ac:dyDescent="0.25">
      <c r="A1328" s="207" t="s">
        <v>2233</v>
      </c>
      <c r="B1328" s="207" t="s">
        <v>1701</v>
      </c>
      <c r="C1328" s="208"/>
      <c r="D1328" s="209">
        <v>8.2100000000000009</v>
      </c>
      <c r="E1328" s="210">
        <v>0</v>
      </c>
      <c r="F1328" s="209">
        <f t="shared" si="21"/>
        <v>0</v>
      </c>
      <c r="G1328" s="207" t="s">
        <v>778</v>
      </c>
      <c r="H1328" s="208"/>
    </row>
    <row r="1329" spans="1:8" ht="13.5" customHeight="1" x14ac:dyDescent="0.25">
      <c r="A1329" s="207" t="s">
        <v>341</v>
      </c>
      <c r="B1329" s="207" t="s">
        <v>1701</v>
      </c>
      <c r="C1329" s="208"/>
      <c r="D1329" s="209">
        <v>6.07</v>
      </c>
      <c r="E1329" s="210">
        <v>2</v>
      </c>
      <c r="F1329" s="209">
        <f t="shared" si="21"/>
        <v>12.14</v>
      </c>
      <c r="G1329" s="211" t="s">
        <v>767</v>
      </c>
      <c r="H1329" s="208"/>
    </row>
    <row r="1330" spans="1:8" ht="13.5" customHeight="1" x14ac:dyDescent="0.25">
      <c r="A1330" s="207" t="s">
        <v>343</v>
      </c>
      <c r="B1330" s="207" t="s">
        <v>1701</v>
      </c>
      <c r="C1330" s="208"/>
      <c r="D1330" s="209">
        <v>7.82</v>
      </c>
      <c r="E1330" s="210">
        <v>5</v>
      </c>
      <c r="F1330" s="209">
        <f t="shared" si="21"/>
        <v>39.1</v>
      </c>
      <c r="G1330" s="211" t="s">
        <v>767</v>
      </c>
      <c r="H1330" s="208"/>
    </row>
    <row r="1331" spans="1:8" ht="13.5" customHeight="1" x14ac:dyDescent="0.25">
      <c r="A1331" s="207" t="s">
        <v>350</v>
      </c>
      <c r="B1331" s="207" t="s">
        <v>1701</v>
      </c>
      <c r="C1331" s="208"/>
      <c r="D1331" s="209">
        <v>20.399999999999999</v>
      </c>
      <c r="E1331" s="210">
        <v>1</v>
      </c>
      <c r="F1331" s="209">
        <f t="shared" si="21"/>
        <v>20.399999999999999</v>
      </c>
      <c r="G1331" s="211" t="s">
        <v>767</v>
      </c>
      <c r="H1331" s="208"/>
    </row>
    <row r="1332" spans="1:8" ht="13.5" customHeight="1" x14ac:dyDescent="0.25">
      <c r="A1332" s="207" t="s">
        <v>2234</v>
      </c>
      <c r="B1332" s="207" t="s">
        <v>1701</v>
      </c>
      <c r="C1332" s="208"/>
      <c r="D1332" s="209">
        <v>7.35</v>
      </c>
      <c r="E1332" s="210"/>
      <c r="F1332" s="209">
        <f t="shared" si="21"/>
        <v>0</v>
      </c>
      <c r="G1332" s="208"/>
      <c r="H1332" s="208"/>
    </row>
    <row r="1333" spans="1:8" ht="13.5" customHeight="1" x14ac:dyDescent="0.25">
      <c r="A1333" s="207" t="s">
        <v>352</v>
      </c>
      <c r="B1333" s="207" t="s">
        <v>1701</v>
      </c>
      <c r="C1333" s="208"/>
      <c r="D1333" s="209">
        <v>15.73</v>
      </c>
      <c r="E1333" s="210"/>
      <c r="F1333" s="209">
        <f t="shared" si="21"/>
        <v>0</v>
      </c>
      <c r="G1333" s="208"/>
      <c r="H1333" s="208"/>
    </row>
    <row r="1334" spans="1:8" ht="13.5" customHeight="1" x14ac:dyDescent="0.25">
      <c r="A1334" s="207" t="s">
        <v>2235</v>
      </c>
      <c r="B1334" s="207" t="s">
        <v>1701</v>
      </c>
      <c r="C1334" s="208"/>
      <c r="D1334" s="209">
        <v>28</v>
      </c>
      <c r="E1334" s="210">
        <v>0.4</v>
      </c>
      <c r="F1334" s="209">
        <f t="shared" si="21"/>
        <v>11.200000000000001</v>
      </c>
      <c r="G1334" s="211" t="s">
        <v>778</v>
      </c>
      <c r="H1334" s="208"/>
    </row>
    <row r="1335" spans="1:8" ht="13.5" customHeight="1" x14ac:dyDescent="0.25">
      <c r="A1335" s="207" t="s">
        <v>2236</v>
      </c>
      <c r="B1335" s="208"/>
      <c r="C1335" s="208"/>
      <c r="D1335" s="209">
        <v>38</v>
      </c>
      <c r="E1335" s="210">
        <v>1</v>
      </c>
      <c r="F1335" s="209">
        <f t="shared" si="21"/>
        <v>38</v>
      </c>
      <c r="G1335" s="208"/>
      <c r="H1335" s="208"/>
    </row>
    <row r="1336" spans="1:8" ht="13.5" customHeight="1" x14ac:dyDescent="0.25">
      <c r="A1336" s="207" t="s">
        <v>2237</v>
      </c>
      <c r="B1336" s="211" t="s">
        <v>2238</v>
      </c>
      <c r="C1336" s="208"/>
      <c r="D1336" s="209">
        <v>10.25</v>
      </c>
      <c r="E1336" s="210">
        <v>4</v>
      </c>
      <c r="F1336" s="209">
        <f t="shared" si="21"/>
        <v>41</v>
      </c>
      <c r="G1336" s="211" t="s">
        <v>778</v>
      </c>
      <c r="H1336" s="208"/>
    </row>
    <row r="1337" spans="1:8" ht="13.5" customHeight="1" x14ac:dyDescent="0.25">
      <c r="A1337" s="207" t="s">
        <v>2239</v>
      </c>
      <c r="B1337" s="207" t="s">
        <v>1701</v>
      </c>
      <c r="C1337" s="208"/>
      <c r="D1337" s="209">
        <v>12</v>
      </c>
      <c r="E1337" s="210">
        <v>5</v>
      </c>
      <c r="F1337" s="209">
        <f t="shared" si="21"/>
        <v>60</v>
      </c>
      <c r="G1337" s="208" t="s">
        <v>767</v>
      </c>
      <c r="H1337" s="208"/>
    </row>
    <row r="1338" spans="1:8" ht="13.5" customHeight="1" x14ac:dyDescent="0.25">
      <c r="A1338" s="207" t="s">
        <v>2240</v>
      </c>
      <c r="B1338" s="207" t="s">
        <v>1701</v>
      </c>
      <c r="C1338" s="208"/>
      <c r="D1338" s="209">
        <v>3.9843000000000002</v>
      </c>
      <c r="E1338" s="210">
        <v>0.3</v>
      </c>
      <c r="F1338" s="209">
        <f t="shared" si="21"/>
        <v>1.19529</v>
      </c>
      <c r="G1338" s="211" t="s">
        <v>767</v>
      </c>
      <c r="H1338" s="208"/>
    </row>
    <row r="1339" spans="1:8" ht="13.5" customHeight="1" x14ac:dyDescent="0.25">
      <c r="A1339" s="207" t="s">
        <v>2241</v>
      </c>
      <c r="B1339" s="208"/>
      <c r="C1339" s="208">
        <v>0.5</v>
      </c>
      <c r="D1339" s="209">
        <v>5.96</v>
      </c>
      <c r="E1339" s="210"/>
      <c r="F1339" s="209">
        <f t="shared" si="21"/>
        <v>0</v>
      </c>
      <c r="G1339" s="208"/>
      <c r="H1339" s="208"/>
    </row>
    <row r="1340" spans="1:8" ht="13.5" customHeight="1" x14ac:dyDescent="0.25">
      <c r="A1340" s="207" t="s">
        <v>364</v>
      </c>
      <c r="B1340" s="207" t="s">
        <v>1701</v>
      </c>
      <c r="C1340" s="208"/>
      <c r="D1340" s="209">
        <v>19.760000000000002</v>
      </c>
      <c r="E1340" s="210">
        <v>0.35</v>
      </c>
      <c r="F1340" s="209">
        <f t="shared" si="21"/>
        <v>6.9160000000000004</v>
      </c>
      <c r="G1340" s="211" t="s">
        <v>767</v>
      </c>
      <c r="H1340" s="208"/>
    </row>
    <row r="1341" spans="1:8" ht="13.5" customHeight="1" x14ac:dyDescent="0.25">
      <c r="A1341" s="211" t="s">
        <v>2242</v>
      </c>
      <c r="B1341" s="211" t="s">
        <v>2238</v>
      </c>
      <c r="C1341" s="214"/>
      <c r="D1341" s="213">
        <v>27.85</v>
      </c>
      <c r="E1341" s="210"/>
      <c r="F1341" s="209">
        <f t="shared" si="21"/>
        <v>0</v>
      </c>
      <c r="G1341" s="207"/>
      <c r="H1341" s="208"/>
    </row>
    <row r="1342" spans="1:8" ht="13.5" customHeight="1" x14ac:dyDescent="0.25">
      <c r="A1342" s="207" t="s">
        <v>2243</v>
      </c>
      <c r="B1342" s="207" t="s">
        <v>1701</v>
      </c>
      <c r="C1342" s="208"/>
      <c r="D1342" s="209">
        <v>7.67</v>
      </c>
      <c r="E1342" s="210"/>
      <c r="F1342" s="209">
        <f t="shared" si="21"/>
        <v>0</v>
      </c>
      <c r="G1342" s="208"/>
      <c r="H1342" s="208"/>
    </row>
    <row r="1343" spans="1:8" ht="13.5" customHeight="1" x14ac:dyDescent="0.25">
      <c r="A1343" s="207" t="s">
        <v>373</v>
      </c>
      <c r="B1343" s="207" t="s">
        <v>1701</v>
      </c>
      <c r="C1343" s="208"/>
      <c r="D1343" s="209">
        <v>17.572900000000001</v>
      </c>
      <c r="E1343" s="210">
        <v>4</v>
      </c>
      <c r="F1343" s="209">
        <f t="shared" si="21"/>
        <v>70.291600000000003</v>
      </c>
      <c r="G1343" s="208"/>
      <c r="H1343" s="208"/>
    </row>
    <row r="1344" spans="1:8" ht="13.5" customHeight="1" x14ac:dyDescent="0.25">
      <c r="A1344" s="207" t="s">
        <v>2244</v>
      </c>
      <c r="B1344" s="207" t="s">
        <v>1701</v>
      </c>
      <c r="C1344" s="208"/>
      <c r="D1344" s="209">
        <v>21.67</v>
      </c>
      <c r="E1344" s="210">
        <v>2</v>
      </c>
      <c r="F1344" s="209">
        <f t="shared" si="21"/>
        <v>43.34</v>
      </c>
      <c r="G1344" s="208"/>
      <c r="H1344" s="208"/>
    </row>
    <row r="1345" spans="1:8" ht="13.5" customHeight="1" x14ac:dyDescent="0.25">
      <c r="A1345" s="207" t="s">
        <v>2245</v>
      </c>
      <c r="B1345" s="207" t="s">
        <v>1701</v>
      </c>
      <c r="C1345" s="208"/>
      <c r="D1345" s="209">
        <v>17.57</v>
      </c>
      <c r="E1345" s="210">
        <v>1</v>
      </c>
      <c r="F1345" s="209">
        <f t="shared" si="21"/>
        <v>17.57</v>
      </c>
      <c r="G1345" s="208"/>
      <c r="H1345" s="208"/>
    </row>
    <row r="1346" spans="1:8" ht="13.5" customHeight="1" x14ac:dyDescent="0.25">
      <c r="A1346" s="207" t="s">
        <v>393</v>
      </c>
      <c r="B1346" s="207" t="s">
        <v>1701</v>
      </c>
      <c r="C1346" s="208"/>
      <c r="D1346" s="209">
        <v>42.82</v>
      </c>
      <c r="E1346" s="210">
        <v>1.5</v>
      </c>
      <c r="F1346" s="209">
        <f t="shared" si="21"/>
        <v>64.23</v>
      </c>
      <c r="G1346" s="208"/>
      <c r="H1346" s="208"/>
    </row>
    <row r="1347" spans="1:8" ht="13.5" customHeight="1" x14ac:dyDescent="0.25">
      <c r="A1347" s="207" t="s">
        <v>2246</v>
      </c>
      <c r="B1347" s="207" t="s">
        <v>1701</v>
      </c>
      <c r="C1347" s="208"/>
      <c r="D1347" s="209">
        <v>16.27</v>
      </c>
      <c r="E1347" s="210"/>
      <c r="F1347" s="209">
        <f t="shared" si="21"/>
        <v>0</v>
      </c>
      <c r="G1347" s="208"/>
      <c r="H1347" s="208"/>
    </row>
    <row r="1348" spans="1:8" ht="13.5" customHeight="1" x14ac:dyDescent="0.25">
      <c r="A1348" s="207" t="s">
        <v>2247</v>
      </c>
      <c r="B1348" s="207" t="s">
        <v>1701</v>
      </c>
      <c r="C1348" s="208"/>
      <c r="D1348" s="209">
        <v>25.22</v>
      </c>
      <c r="E1348" s="210"/>
      <c r="F1348" s="209">
        <f t="shared" si="21"/>
        <v>0</v>
      </c>
      <c r="G1348" s="208"/>
      <c r="H1348" s="208"/>
    </row>
    <row r="1349" spans="1:8" ht="13.5" customHeight="1" x14ac:dyDescent="0.25">
      <c r="A1349" s="207" t="s">
        <v>2248</v>
      </c>
      <c r="B1349" s="207" t="s">
        <v>1701</v>
      </c>
      <c r="C1349" s="208"/>
      <c r="D1349" s="213">
        <v>21.39</v>
      </c>
      <c r="E1349" s="210">
        <v>2</v>
      </c>
      <c r="F1349" s="209">
        <f t="shared" si="21"/>
        <v>42.78</v>
      </c>
      <c r="G1349" s="208"/>
      <c r="H1349" s="208"/>
    </row>
    <row r="1350" spans="1:8" ht="13.5" customHeight="1" x14ac:dyDescent="0.25">
      <c r="A1350" s="207" t="s">
        <v>2249</v>
      </c>
      <c r="B1350" s="207" t="s">
        <v>1701</v>
      </c>
      <c r="C1350" s="208"/>
      <c r="D1350" s="209">
        <v>33.49</v>
      </c>
      <c r="E1350" s="210">
        <v>0.5</v>
      </c>
      <c r="F1350" s="209">
        <f t="shared" si="21"/>
        <v>16.745000000000001</v>
      </c>
      <c r="G1350" s="208"/>
      <c r="H1350" s="208"/>
    </row>
    <row r="1351" spans="1:8" ht="13.5" customHeight="1" x14ac:dyDescent="0.25">
      <c r="A1351" s="207" t="s">
        <v>402</v>
      </c>
      <c r="B1351" s="207" t="s">
        <v>1701</v>
      </c>
      <c r="C1351" s="208"/>
      <c r="D1351" s="209">
        <v>54.46</v>
      </c>
      <c r="E1351" s="210">
        <v>0.75</v>
      </c>
      <c r="F1351" s="209">
        <f t="shared" ref="F1351:F1414" si="22">D1351*E1351</f>
        <v>40.844999999999999</v>
      </c>
      <c r="G1351" s="208"/>
      <c r="H1351" s="208"/>
    </row>
    <row r="1352" spans="1:8" ht="13.5" customHeight="1" x14ac:dyDescent="0.25">
      <c r="A1352" s="207" t="s">
        <v>2250</v>
      </c>
      <c r="B1352" s="207" t="s">
        <v>1701</v>
      </c>
      <c r="C1352" s="208"/>
      <c r="D1352" s="209">
        <v>17.100000000000001</v>
      </c>
      <c r="E1352" s="210"/>
      <c r="F1352" s="209">
        <f t="shared" si="22"/>
        <v>0</v>
      </c>
      <c r="G1352" s="208"/>
      <c r="H1352" s="208"/>
    </row>
    <row r="1353" spans="1:8" ht="13.5" customHeight="1" x14ac:dyDescent="0.25">
      <c r="A1353" s="207" t="s">
        <v>404</v>
      </c>
      <c r="B1353" s="207" t="s">
        <v>1701</v>
      </c>
      <c r="C1353" s="208"/>
      <c r="D1353" s="209">
        <v>7.27</v>
      </c>
      <c r="E1353" s="210">
        <v>2</v>
      </c>
      <c r="F1353" s="209">
        <f t="shared" si="22"/>
        <v>14.54</v>
      </c>
      <c r="G1353" s="208"/>
      <c r="H1353" s="208"/>
    </row>
    <row r="1354" spans="1:8" ht="13.5" customHeight="1" x14ac:dyDescent="0.25">
      <c r="A1354" s="207" t="s">
        <v>2251</v>
      </c>
      <c r="B1354" s="207" t="s">
        <v>1701</v>
      </c>
      <c r="C1354" s="208"/>
      <c r="D1354" s="209">
        <v>7.42</v>
      </c>
      <c r="E1354" s="210">
        <v>1</v>
      </c>
      <c r="F1354" s="209">
        <f t="shared" si="22"/>
        <v>7.42</v>
      </c>
      <c r="G1354" s="208"/>
      <c r="H1354" s="208"/>
    </row>
    <row r="1355" spans="1:8" ht="13.5" customHeight="1" x14ac:dyDescent="0.25">
      <c r="A1355" s="207" t="s">
        <v>2252</v>
      </c>
      <c r="B1355" s="207" t="s">
        <v>1701</v>
      </c>
      <c r="C1355" s="208"/>
      <c r="D1355" s="209">
        <v>8.61</v>
      </c>
      <c r="E1355" s="210">
        <v>1</v>
      </c>
      <c r="F1355" s="209">
        <f t="shared" si="22"/>
        <v>8.61</v>
      </c>
      <c r="G1355" s="208"/>
      <c r="H1355" s="208"/>
    </row>
    <row r="1356" spans="1:8" ht="13.5" customHeight="1" x14ac:dyDescent="0.25">
      <c r="A1356" s="207" t="s">
        <v>2253</v>
      </c>
      <c r="B1356" s="207" t="s">
        <v>1701</v>
      </c>
      <c r="C1356" s="208"/>
      <c r="D1356" s="209">
        <v>20.02</v>
      </c>
      <c r="E1356" s="210">
        <v>2</v>
      </c>
      <c r="F1356" s="209">
        <f t="shared" si="22"/>
        <v>40.04</v>
      </c>
      <c r="G1356" s="208"/>
      <c r="H1356" s="208"/>
    </row>
    <row r="1357" spans="1:8" ht="13.5" customHeight="1" x14ac:dyDescent="0.25">
      <c r="A1357" s="207" t="s">
        <v>2254</v>
      </c>
      <c r="B1357" s="207" t="s">
        <v>1701</v>
      </c>
      <c r="C1357" s="208"/>
      <c r="D1357" s="209">
        <v>25</v>
      </c>
      <c r="E1357" s="210">
        <v>1</v>
      </c>
      <c r="F1357" s="209">
        <f t="shared" si="22"/>
        <v>25</v>
      </c>
      <c r="G1357" s="208"/>
      <c r="H1357" s="208"/>
    </row>
    <row r="1358" spans="1:8" ht="13.5" customHeight="1" x14ac:dyDescent="0.25">
      <c r="A1358" s="207" t="s">
        <v>2255</v>
      </c>
      <c r="B1358" s="208"/>
      <c r="C1358" s="208"/>
      <c r="D1358" s="209">
        <v>2.12</v>
      </c>
      <c r="E1358" s="210">
        <v>48</v>
      </c>
      <c r="F1358" s="209">
        <f t="shared" si="22"/>
        <v>101.76</v>
      </c>
      <c r="G1358" s="208"/>
      <c r="H1358" s="208"/>
    </row>
    <row r="1359" spans="1:8" ht="13.5" customHeight="1" x14ac:dyDescent="0.25">
      <c r="A1359" s="207" t="s">
        <v>414</v>
      </c>
      <c r="B1359" s="207" t="s">
        <v>1701</v>
      </c>
      <c r="C1359" s="208"/>
      <c r="D1359" s="209">
        <v>4.5</v>
      </c>
      <c r="E1359" s="210">
        <v>16</v>
      </c>
      <c r="F1359" s="209">
        <f t="shared" si="22"/>
        <v>72</v>
      </c>
      <c r="G1359" s="208"/>
      <c r="H1359" s="208"/>
    </row>
    <row r="1360" spans="1:8" ht="13.5" customHeight="1" x14ac:dyDescent="0.25">
      <c r="A1360" s="207" t="s">
        <v>416</v>
      </c>
      <c r="B1360" s="207" t="s">
        <v>1701</v>
      </c>
      <c r="C1360" s="208"/>
      <c r="D1360" s="209">
        <v>3.5</v>
      </c>
      <c r="E1360" s="210">
        <v>6</v>
      </c>
      <c r="F1360" s="209">
        <f t="shared" si="22"/>
        <v>21</v>
      </c>
      <c r="G1360" s="208"/>
      <c r="H1360" s="208"/>
    </row>
    <row r="1361" spans="1:8" ht="13.5" customHeight="1" x14ac:dyDescent="0.25">
      <c r="A1361" s="207" t="s">
        <v>2256</v>
      </c>
      <c r="B1361" s="208"/>
      <c r="C1361" s="208"/>
      <c r="D1361" s="209">
        <v>26.1</v>
      </c>
      <c r="E1361" s="210">
        <v>0.2</v>
      </c>
      <c r="F1361" s="209">
        <f t="shared" si="22"/>
        <v>5.2200000000000006</v>
      </c>
      <c r="G1361" s="208"/>
      <c r="H1361" s="208"/>
    </row>
    <row r="1362" spans="1:8" ht="13.5" customHeight="1" x14ac:dyDescent="0.25">
      <c r="A1362" s="207" t="s">
        <v>2257</v>
      </c>
      <c r="B1362" s="207" t="s">
        <v>1701</v>
      </c>
      <c r="C1362" s="208"/>
      <c r="D1362" s="209">
        <v>49</v>
      </c>
      <c r="E1362" s="210">
        <v>1.8</v>
      </c>
      <c r="F1362" s="209">
        <f t="shared" si="22"/>
        <v>88.2</v>
      </c>
      <c r="G1362" s="208"/>
      <c r="H1362" s="208"/>
    </row>
    <row r="1363" spans="1:8" ht="13.5" customHeight="1" x14ac:dyDescent="0.25">
      <c r="A1363" s="207" t="s">
        <v>419</v>
      </c>
      <c r="B1363" s="207" t="s">
        <v>1701</v>
      </c>
      <c r="C1363" s="208"/>
      <c r="D1363" s="209">
        <v>4</v>
      </c>
      <c r="E1363" s="210">
        <v>9</v>
      </c>
      <c r="F1363" s="209">
        <f t="shared" si="22"/>
        <v>36</v>
      </c>
      <c r="G1363" s="208"/>
      <c r="H1363" s="208"/>
    </row>
    <row r="1364" spans="1:8" ht="13.5" customHeight="1" x14ac:dyDescent="0.25">
      <c r="A1364" s="207" t="s">
        <v>2258</v>
      </c>
      <c r="B1364" s="207" t="s">
        <v>1701</v>
      </c>
      <c r="C1364" s="208"/>
      <c r="D1364" s="209">
        <v>45.09</v>
      </c>
      <c r="E1364" s="210"/>
      <c r="F1364" s="209">
        <f t="shared" si="22"/>
        <v>0</v>
      </c>
      <c r="G1364" s="208"/>
      <c r="H1364" s="208"/>
    </row>
    <row r="1365" spans="1:8" ht="13.5" customHeight="1" x14ac:dyDescent="0.25">
      <c r="A1365" s="207" t="s">
        <v>421</v>
      </c>
      <c r="B1365" s="207" t="s">
        <v>1701</v>
      </c>
      <c r="C1365" s="208"/>
      <c r="D1365" s="209">
        <v>55</v>
      </c>
      <c r="E1365" s="210">
        <v>2</v>
      </c>
      <c r="F1365" s="209">
        <f t="shared" si="22"/>
        <v>110</v>
      </c>
      <c r="G1365" s="208"/>
      <c r="H1365" s="208"/>
    </row>
    <row r="1366" spans="1:8" ht="13.5" customHeight="1" x14ac:dyDescent="0.25">
      <c r="A1366" s="207" t="s">
        <v>2259</v>
      </c>
      <c r="B1366" s="207" t="s">
        <v>1701</v>
      </c>
      <c r="C1366" s="208"/>
      <c r="D1366" s="209">
        <v>12.24</v>
      </c>
      <c r="E1366" s="210">
        <v>2</v>
      </c>
      <c r="F1366" s="209">
        <f t="shared" si="22"/>
        <v>24.48</v>
      </c>
      <c r="G1366" s="208"/>
      <c r="H1366" s="208"/>
    </row>
    <row r="1367" spans="1:8" ht="13.5" customHeight="1" x14ac:dyDescent="0.25">
      <c r="A1367" s="207" t="s">
        <v>424</v>
      </c>
      <c r="B1367" s="207" t="s">
        <v>1701</v>
      </c>
      <c r="C1367" s="208"/>
      <c r="D1367" s="209">
        <v>15.2</v>
      </c>
      <c r="E1367" s="210">
        <v>2</v>
      </c>
      <c r="F1367" s="209">
        <f t="shared" si="22"/>
        <v>30.4</v>
      </c>
      <c r="G1367" s="208"/>
      <c r="H1367" s="208"/>
    </row>
    <row r="1368" spans="1:8" ht="13.5" customHeight="1" x14ac:dyDescent="0.25">
      <c r="A1368" s="207" t="s">
        <v>427</v>
      </c>
      <c r="B1368" s="207" t="s">
        <v>1701</v>
      </c>
      <c r="C1368" s="208"/>
      <c r="D1368" s="209">
        <v>31.02</v>
      </c>
      <c r="E1368" s="210">
        <v>2</v>
      </c>
      <c r="F1368" s="209">
        <f t="shared" si="22"/>
        <v>62.04</v>
      </c>
      <c r="G1368" s="208"/>
      <c r="H1368" s="208"/>
    </row>
    <row r="1369" spans="1:8" ht="13.5" customHeight="1" x14ac:dyDescent="0.25">
      <c r="A1369" s="207" t="s">
        <v>430</v>
      </c>
      <c r="B1369" s="207" t="s">
        <v>1701</v>
      </c>
      <c r="C1369" s="208"/>
      <c r="D1369" s="209">
        <v>74.33</v>
      </c>
      <c r="E1369" s="210"/>
      <c r="F1369" s="209">
        <f t="shared" si="22"/>
        <v>0</v>
      </c>
      <c r="G1369" s="208"/>
      <c r="H1369" s="208"/>
    </row>
    <row r="1370" spans="1:8" ht="13.5" customHeight="1" x14ac:dyDescent="0.25">
      <c r="A1370" s="211" t="s">
        <v>434</v>
      </c>
      <c r="B1370" s="211" t="s">
        <v>2238</v>
      </c>
      <c r="C1370" s="214"/>
      <c r="D1370" s="213">
        <v>31.39</v>
      </c>
      <c r="E1370" s="210">
        <v>1</v>
      </c>
      <c r="F1370" s="209">
        <f t="shared" si="22"/>
        <v>31.39</v>
      </c>
      <c r="G1370" s="208"/>
      <c r="H1370" s="208"/>
    </row>
    <row r="1371" spans="1:8" ht="13.5" customHeight="1" x14ac:dyDescent="0.25">
      <c r="A1371" s="207" t="s">
        <v>443</v>
      </c>
      <c r="B1371" s="207" t="s">
        <v>1701</v>
      </c>
      <c r="C1371" s="208"/>
      <c r="D1371" s="209">
        <v>43.98</v>
      </c>
      <c r="E1371" s="210">
        <v>0.8</v>
      </c>
      <c r="F1371" s="209">
        <f t="shared" si="22"/>
        <v>35.183999999999997</v>
      </c>
      <c r="G1371" s="208"/>
      <c r="H1371" s="208"/>
    </row>
    <row r="1372" spans="1:8" ht="13.5" customHeight="1" x14ac:dyDescent="0.25">
      <c r="A1372" s="207" t="s">
        <v>447</v>
      </c>
      <c r="B1372" s="207" t="s">
        <v>1701</v>
      </c>
      <c r="C1372" s="208"/>
      <c r="D1372" s="209">
        <v>75.540000000000006</v>
      </c>
      <c r="E1372" s="210">
        <v>0.5</v>
      </c>
      <c r="F1372" s="209">
        <f t="shared" si="22"/>
        <v>37.770000000000003</v>
      </c>
      <c r="G1372" s="208"/>
      <c r="H1372" s="208"/>
    </row>
    <row r="1373" spans="1:8" ht="13.5" customHeight="1" x14ac:dyDescent="0.25">
      <c r="A1373" s="207" t="s">
        <v>453</v>
      </c>
      <c r="B1373" s="207" t="s">
        <v>1701</v>
      </c>
      <c r="C1373" s="208"/>
      <c r="D1373" s="209">
        <v>38.5</v>
      </c>
      <c r="E1373" s="210">
        <v>0.5</v>
      </c>
      <c r="F1373" s="209">
        <f t="shared" si="22"/>
        <v>19.25</v>
      </c>
      <c r="G1373" s="208"/>
      <c r="H1373" s="208"/>
    </row>
    <row r="1374" spans="1:8" ht="13.5" customHeight="1" x14ac:dyDescent="0.25">
      <c r="A1374" s="207" t="s">
        <v>455</v>
      </c>
      <c r="B1374" s="207" t="s">
        <v>1701</v>
      </c>
      <c r="C1374" s="208"/>
      <c r="D1374" s="209">
        <v>20.82</v>
      </c>
      <c r="E1374" s="210">
        <v>1</v>
      </c>
      <c r="F1374" s="209">
        <f t="shared" si="22"/>
        <v>20.82</v>
      </c>
      <c r="G1374" s="208"/>
      <c r="H1374" s="208"/>
    </row>
    <row r="1375" spans="1:8" ht="13.5" customHeight="1" x14ac:dyDescent="0.25">
      <c r="A1375" s="207" t="s">
        <v>2260</v>
      </c>
      <c r="B1375" s="211" t="s">
        <v>2261</v>
      </c>
      <c r="C1375" s="208"/>
      <c r="D1375" s="209">
        <v>145.24</v>
      </c>
      <c r="E1375" s="210">
        <v>1</v>
      </c>
      <c r="F1375" s="209">
        <f t="shared" si="22"/>
        <v>145.24</v>
      </c>
      <c r="G1375" s="208"/>
      <c r="H1375" s="208"/>
    </row>
    <row r="1376" spans="1:8" ht="13.5" customHeight="1" x14ac:dyDescent="0.25">
      <c r="A1376" s="207" t="s">
        <v>2262</v>
      </c>
      <c r="B1376" s="211" t="s">
        <v>2261</v>
      </c>
      <c r="C1376" s="208"/>
      <c r="D1376" s="209">
        <v>56.01</v>
      </c>
      <c r="E1376" s="210">
        <v>1</v>
      </c>
      <c r="F1376" s="209">
        <f t="shared" si="22"/>
        <v>56.01</v>
      </c>
      <c r="G1376" s="208"/>
      <c r="H1376" s="208"/>
    </row>
    <row r="1377" spans="1:8" ht="13.5" customHeight="1" x14ac:dyDescent="0.25">
      <c r="A1377" s="207" t="s">
        <v>460</v>
      </c>
      <c r="B1377" s="207" t="s">
        <v>1701</v>
      </c>
      <c r="C1377" s="208"/>
      <c r="D1377" s="209">
        <v>26.1</v>
      </c>
      <c r="E1377" s="210">
        <v>3</v>
      </c>
      <c r="F1377" s="209">
        <f t="shared" si="22"/>
        <v>78.300000000000011</v>
      </c>
      <c r="G1377" s="208"/>
      <c r="H1377" s="208"/>
    </row>
    <row r="1378" spans="1:8" ht="13.5" customHeight="1" x14ac:dyDescent="0.25">
      <c r="A1378" s="211" t="s">
        <v>2263</v>
      </c>
      <c r="B1378" s="211" t="s">
        <v>2238</v>
      </c>
      <c r="C1378" s="208"/>
      <c r="D1378" s="209">
        <v>38.58</v>
      </c>
      <c r="E1378" s="210"/>
      <c r="F1378" s="209">
        <f t="shared" si="22"/>
        <v>0</v>
      </c>
      <c r="G1378" s="208"/>
      <c r="H1378" s="208"/>
    </row>
    <row r="1379" spans="1:8" ht="13.5" customHeight="1" x14ac:dyDescent="0.25">
      <c r="A1379" s="207" t="s">
        <v>2264</v>
      </c>
      <c r="B1379" s="207" t="s">
        <v>1701</v>
      </c>
      <c r="C1379" s="208"/>
      <c r="D1379" s="209">
        <v>3.82</v>
      </c>
      <c r="E1379" s="210"/>
      <c r="F1379" s="209">
        <f t="shared" si="22"/>
        <v>0</v>
      </c>
      <c r="G1379" s="208"/>
      <c r="H1379" s="208"/>
    </row>
    <row r="1380" spans="1:8" ht="13.5" customHeight="1" x14ac:dyDescent="0.25">
      <c r="A1380" s="207" t="s">
        <v>2265</v>
      </c>
      <c r="B1380" s="207" t="s">
        <v>1701</v>
      </c>
      <c r="C1380" s="208"/>
      <c r="D1380" s="209">
        <v>178</v>
      </c>
      <c r="E1380" s="210"/>
      <c r="F1380" s="209">
        <f t="shared" si="22"/>
        <v>0</v>
      </c>
      <c r="G1380" s="208"/>
      <c r="H1380" s="208"/>
    </row>
    <row r="1381" spans="1:8" ht="13.5" customHeight="1" x14ac:dyDescent="0.25">
      <c r="A1381" s="207" t="s">
        <v>474</v>
      </c>
      <c r="B1381" s="207" t="s">
        <v>1701</v>
      </c>
      <c r="C1381" s="208"/>
      <c r="D1381" s="209">
        <v>295</v>
      </c>
      <c r="E1381" s="210"/>
      <c r="F1381" s="209">
        <f t="shared" si="22"/>
        <v>0</v>
      </c>
      <c r="G1381" s="211" t="s">
        <v>767</v>
      </c>
      <c r="H1381" s="208"/>
    </row>
    <row r="1382" spans="1:8" ht="13.5" customHeight="1" x14ac:dyDescent="0.25">
      <c r="A1382" s="207" t="s">
        <v>2266</v>
      </c>
      <c r="B1382" s="207" t="s">
        <v>1701</v>
      </c>
      <c r="C1382" s="208"/>
      <c r="D1382" s="209">
        <v>198</v>
      </c>
      <c r="E1382" s="210"/>
      <c r="F1382" s="209">
        <f t="shared" si="22"/>
        <v>0</v>
      </c>
      <c r="G1382" s="211" t="s">
        <v>778</v>
      </c>
      <c r="H1382" s="208"/>
    </row>
    <row r="1383" spans="1:8" ht="13.5" customHeight="1" x14ac:dyDescent="0.25">
      <c r="A1383" s="207" t="s">
        <v>2267</v>
      </c>
      <c r="B1383" s="207" t="s">
        <v>1701</v>
      </c>
      <c r="C1383" s="208"/>
      <c r="D1383" s="209">
        <v>33.17</v>
      </c>
      <c r="E1383" s="210">
        <v>1</v>
      </c>
      <c r="F1383" s="209">
        <f t="shared" si="22"/>
        <v>33.17</v>
      </c>
      <c r="G1383" s="208"/>
      <c r="H1383" s="208"/>
    </row>
    <row r="1384" spans="1:8" ht="13.5" customHeight="1" x14ac:dyDescent="0.25">
      <c r="A1384" s="207" t="s">
        <v>2268</v>
      </c>
      <c r="B1384" s="211" t="s">
        <v>2269</v>
      </c>
      <c r="C1384" s="208"/>
      <c r="D1384" s="213">
        <v>19</v>
      </c>
      <c r="E1384" s="210">
        <v>1</v>
      </c>
      <c r="F1384" s="209">
        <f t="shared" si="22"/>
        <v>19</v>
      </c>
      <c r="G1384" s="208"/>
      <c r="H1384" s="208"/>
    </row>
    <row r="1385" spans="1:8" ht="13.5" customHeight="1" x14ac:dyDescent="0.25">
      <c r="A1385" s="207" t="s">
        <v>2270</v>
      </c>
      <c r="B1385" s="207" t="s">
        <v>1701</v>
      </c>
      <c r="C1385" s="208"/>
      <c r="D1385" s="209">
        <v>13.6</v>
      </c>
      <c r="E1385" s="210"/>
      <c r="F1385" s="209">
        <f t="shared" si="22"/>
        <v>0</v>
      </c>
      <c r="G1385" s="208"/>
      <c r="H1385" s="208"/>
    </row>
    <row r="1386" spans="1:8" ht="13.5" customHeight="1" x14ac:dyDescent="0.25">
      <c r="A1386" s="207" t="s">
        <v>485</v>
      </c>
      <c r="B1386" s="207" t="s">
        <v>1701</v>
      </c>
      <c r="C1386" s="208"/>
      <c r="D1386" s="209">
        <v>22.11</v>
      </c>
      <c r="E1386" s="210"/>
      <c r="F1386" s="209">
        <f t="shared" si="22"/>
        <v>0</v>
      </c>
      <c r="G1386" s="208"/>
      <c r="H1386" s="208"/>
    </row>
    <row r="1387" spans="1:8" ht="13.5" customHeight="1" x14ac:dyDescent="0.25">
      <c r="A1387" s="207" t="s">
        <v>489</v>
      </c>
      <c r="B1387" s="207" t="s">
        <v>1701</v>
      </c>
      <c r="C1387" s="208"/>
      <c r="D1387" s="213">
        <v>14.2</v>
      </c>
      <c r="E1387" s="210"/>
      <c r="F1387" s="209">
        <f t="shared" si="22"/>
        <v>0</v>
      </c>
      <c r="G1387" s="211" t="s">
        <v>778</v>
      </c>
      <c r="H1387" s="208"/>
    </row>
    <row r="1388" spans="1:8" ht="13.5" customHeight="1" x14ac:dyDescent="0.25">
      <c r="A1388" s="207" t="s">
        <v>2271</v>
      </c>
      <c r="B1388" s="207" t="s">
        <v>1701</v>
      </c>
      <c r="C1388" s="208"/>
      <c r="D1388" s="209">
        <v>20.97</v>
      </c>
      <c r="E1388" s="210">
        <v>7</v>
      </c>
      <c r="F1388" s="209">
        <f t="shared" si="22"/>
        <v>146.79</v>
      </c>
      <c r="G1388" s="207"/>
      <c r="H1388" s="208"/>
    </row>
    <row r="1389" spans="1:8" ht="13.5" customHeight="1" x14ac:dyDescent="0.25">
      <c r="A1389" s="207" t="s">
        <v>492</v>
      </c>
      <c r="B1389" s="207" t="s">
        <v>1701</v>
      </c>
      <c r="C1389" s="208"/>
      <c r="D1389" s="209"/>
      <c r="E1389" s="210"/>
      <c r="F1389" s="209">
        <f t="shared" si="22"/>
        <v>0</v>
      </c>
      <c r="G1389" s="208"/>
      <c r="H1389" s="208"/>
    </row>
    <row r="1390" spans="1:8" ht="13.5" customHeight="1" x14ac:dyDescent="0.25">
      <c r="A1390" s="207" t="s">
        <v>495</v>
      </c>
      <c r="B1390" s="207" t="s">
        <v>1701</v>
      </c>
      <c r="C1390" s="208"/>
      <c r="D1390" s="213">
        <v>24</v>
      </c>
      <c r="E1390" s="210">
        <v>0</v>
      </c>
      <c r="F1390" s="209">
        <f t="shared" si="22"/>
        <v>0</v>
      </c>
      <c r="G1390" s="211" t="s">
        <v>809</v>
      </c>
      <c r="H1390" s="208"/>
    </row>
    <row r="1391" spans="1:8" ht="13.5" customHeight="1" x14ac:dyDescent="0.25">
      <c r="A1391" s="207" t="s">
        <v>497</v>
      </c>
      <c r="B1391" s="207" t="s">
        <v>1701</v>
      </c>
      <c r="C1391" s="208"/>
      <c r="D1391" s="209"/>
      <c r="E1391" s="210"/>
      <c r="F1391" s="209">
        <f t="shared" si="22"/>
        <v>0</v>
      </c>
      <c r="G1391" s="208"/>
      <c r="H1391" s="208"/>
    </row>
    <row r="1392" spans="1:8" ht="13.5" customHeight="1" x14ac:dyDescent="0.25">
      <c r="A1392" s="207" t="s">
        <v>2272</v>
      </c>
      <c r="B1392" s="211" t="s">
        <v>2273</v>
      </c>
      <c r="C1392" s="208"/>
      <c r="D1392" s="209">
        <v>29.03</v>
      </c>
      <c r="E1392" s="210"/>
      <c r="F1392" s="209">
        <f t="shared" si="22"/>
        <v>0</v>
      </c>
      <c r="G1392" s="208"/>
      <c r="H1392" s="208"/>
    </row>
    <row r="1393" spans="1:8" ht="13.5" customHeight="1" x14ac:dyDescent="0.25">
      <c r="A1393" s="211" t="s">
        <v>2274</v>
      </c>
      <c r="B1393" s="211" t="s">
        <v>2273</v>
      </c>
      <c r="C1393" s="208"/>
      <c r="D1393" s="209">
        <v>26</v>
      </c>
      <c r="E1393" s="210">
        <v>4</v>
      </c>
      <c r="F1393" s="209">
        <f t="shared" si="22"/>
        <v>104</v>
      </c>
      <c r="G1393" s="208"/>
      <c r="H1393" s="208"/>
    </row>
    <row r="1394" spans="1:8" ht="13.5" customHeight="1" x14ac:dyDescent="0.25">
      <c r="A1394" s="207" t="s">
        <v>2275</v>
      </c>
      <c r="B1394" s="207" t="s">
        <v>1701</v>
      </c>
      <c r="C1394" s="208"/>
      <c r="D1394" s="209">
        <v>10.87</v>
      </c>
      <c r="E1394" s="210">
        <v>1.4</v>
      </c>
      <c r="F1394" s="209">
        <f t="shared" si="22"/>
        <v>15.217999999999998</v>
      </c>
      <c r="G1394" s="208"/>
      <c r="H1394" s="208"/>
    </row>
    <row r="1395" spans="1:8" ht="13.5" customHeight="1" x14ac:dyDescent="0.25">
      <c r="A1395" s="207" t="s">
        <v>512</v>
      </c>
      <c r="B1395" s="207" t="s">
        <v>1701</v>
      </c>
      <c r="C1395" s="208"/>
      <c r="D1395" s="213">
        <v>38.53</v>
      </c>
      <c r="E1395" s="210">
        <v>1</v>
      </c>
      <c r="F1395" s="209">
        <f t="shared" si="22"/>
        <v>38.53</v>
      </c>
      <c r="G1395" s="208"/>
      <c r="H1395" s="208"/>
    </row>
    <row r="1396" spans="1:8" ht="13.5" customHeight="1" x14ac:dyDescent="0.25">
      <c r="A1396" s="207" t="s">
        <v>2276</v>
      </c>
      <c r="B1396" s="207" t="s">
        <v>1701</v>
      </c>
      <c r="C1396" s="208"/>
      <c r="D1396" s="209">
        <v>10.5244</v>
      </c>
      <c r="E1396" s="210"/>
      <c r="F1396" s="209">
        <f t="shared" si="22"/>
        <v>0</v>
      </c>
      <c r="G1396" s="208"/>
      <c r="H1396" s="208"/>
    </row>
    <row r="1397" spans="1:8" ht="13.5" customHeight="1" x14ac:dyDescent="0.25">
      <c r="A1397" s="207" t="s">
        <v>2277</v>
      </c>
      <c r="B1397" s="207" t="s">
        <v>1701</v>
      </c>
      <c r="C1397" s="208" t="s">
        <v>1176</v>
      </c>
      <c r="D1397" s="209">
        <v>90.29</v>
      </c>
      <c r="E1397" s="210">
        <v>0.5</v>
      </c>
      <c r="F1397" s="209">
        <f t="shared" si="22"/>
        <v>45.145000000000003</v>
      </c>
      <c r="G1397" s="208" t="s">
        <v>767</v>
      </c>
      <c r="H1397" s="208"/>
    </row>
    <row r="1398" spans="1:8" ht="13.5" customHeight="1" x14ac:dyDescent="0.25">
      <c r="A1398" s="207" t="s">
        <v>2278</v>
      </c>
      <c r="B1398" s="211" t="s">
        <v>2238</v>
      </c>
      <c r="C1398" s="208"/>
      <c r="D1398" s="209">
        <v>53.5</v>
      </c>
      <c r="E1398" s="210">
        <v>0.5</v>
      </c>
      <c r="F1398" s="209">
        <f t="shared" si="22"/>
        <v>26.75</v>
      </c>
      <c r="G1398" s="208"/>
      <c r="H1398" s="208"/>
    </row>
    <row r="1399" spans="1:8" ht="13.5" customHeight="1" x14ac:dyDescent="0.25">
      <c r="A1399" s="207" t="s">
        <v>2279</v>
      </c>
      <c r="B1399" s="208"/>
      <c r="C1399" s="208"/>
      <c r="D1399" s="209">
        <v>11.99</v>
      </c>
      <c r="E1399" s="210">
        <v>1</v>
      </c>
      <c r="F1399" s="209">
        <f t="shared" si="22"/>
        <v>11.99</v>
      </c>
      <c r="G1399" s="211" t="s">
        <v>767</v>
      </c>
      <c r="H1399" s="208"/>
    </row>
    <row r="1400" spans="1:8" ht="13.5" customHeight="1" x14ac:dyDescent="0.25">
      <c r="A1400" s="207" t="s">
        <v>2280</v>
      </c>
      <c r="B1400" s="208"/>
      <c r="C1400" s="208"/>
      <c r="D1400" s="209">
        <v>25</v>
      </c>
      <c r="E1400" s="210">
        <v>0.5</v>
      </c>
      <c r="F1400" s="209">
        <f t="shared" si="22"/>
        <v>12.5</v>
      </c>
      <c r="G1400" s="208"/>
      <c r="H1400" s="208"/>
    </row>
    <row r="1401" spans="1:8" ht="13.5" customHeight="1" x14ac:dyDescent="0.25">
      <c r="A1401" s="207" t="s">
        <v>2281</v>
      </c>
      <c r="B1401" s="207" t="s">
        <v>1701</v>
      </c>
      <c r="C1401" s="208"/>
      <c r="D1401" s="209">
        <v>24.32</v>
      </c>
      <c r="E1401" s="210">
        <v>1</v>
      </c>
      <c r="F1401" s="209">
        <f t="shared" si="22"/>
        <v>24.32</v>
      </c>
      <c r="G1401" s="211" t="s">
        <v>767</v>
      </c>
      <c r="H1401" s="208"/>
    </row>
    <row r="1402" spans="1:8" ht="13.5" customHeight="1" x14ac:dyDescent="0.25">
      <c r="A1402" s="207" t="s">
        <v>2282</v>
      </c>
      <c r="B1402" s="207" t="s">
        <v>1701</v>
      </c>
      <c r="C1402" s="208"/>
      <c r="D1402" s="209">
        <v>35.06</v>
      </c>
      <c r="E1402" s="210">
        <v>0</v>
      </c>
      <c r="F1402" s="209">
        <f t="shared" si="22"/>
        <v>0</v>
      </c>
      <c r="G1402" s="208" t="s">
        <v>809</v>
      </c>
      <c r="H1402" s="208"/>
    </row>
    <row r="1403" spans="1:8" ht="13.5" customHeight="1" x14ac:dyDescent="0.25">
      <c r="A1403" s="207" t="s">
        <v>531</v>
      </c>
      <c r="B1403" s="207" t="s">
        <v>1701</v>
      </c>
      <c r="C1403" s="208"/>
      <c r="D1403" s="209">
        <v>2.6</v>
      </c>
      <c r="E1403" s="210"/>
      <c r="F1403" s="209">
        <f t="shared" si="22"/>
        <v>0</v>
      </c>
      <c r="G1403" s="208"/>
      <c r="H1403" s="208"/>
    </row>
    <row r="1404" spans="1:8" ht="13.5" customHeight="1" x14ac:dyDescent="0.25">
      <c r="A1404" s="207" t="s">
        <v>534</v>
      </c>
      <c r="B1404" s="207" t="s">
        <v>1701</v>
      </c>
      <c r="C1404" s="208"/>
      <c r="D1404" s="209">
        <v>4.63</v>
      </c>
      <c r="E1404" s="210"/>
      <c r="F1404" s="209">
        <f t="shared" si="22"/>
        <v>0</v>
      </c>
      <c r="G1404" s="207" t="s">
        <v>778</v>
      </c>
      <c r="H1404" s="208"/>
    </row>
    <row r="1405" spans="1:8" ht="13.5" customHeight="1" x14ac:dyDescent="0.25">
      <c r="A1405" s="207" t="s">
        <v>2283</v>
      </c>
      <c r="B1405" s="207" t="s">
        <v>1701</v>
      </c>
      <c r="C1405" s="208">
        <v>2.5</v>
      </c>
      <c r="D1405" s="209">
        <v>35</v>
      </c>
      <c r="E1405" s="210">
        <v>1</v>
      </c>
      <c r="F1405" s="209">
        <f t="shared" si="22"/>
        <v>35</v>
      </c>
      <c r="G1405" s="208"/>
      <c r="H1405" s="208"/>
    </row>
    <row r="1406" spans="1:8" ht="13.5" customHeight="1" x14ac:dyDescent="0.25">
      <c r="A1406" s="207" t="s">
        <v>2284</v>
      </c>
      <c r="B1406" s="211" t="s">
        <v>2273</v>
      </c>
      <c r="C1406" s="208"/>
      <c r="D1406" s="209">
        <v>60.6</v>
      </c>
      <c r="E1406" s="210">
        <v>0.45</v>
      </c>
      <c r="F1406" s="209">
        <f t="shared" si="22"/>
        <v>27.27</v>
      </c>
      <c r="G1406" s="211" t="s">
        <v>767</v>
      </c>
      <c r="H1406" s="208"/>
    </row>
    <row r="1407" spans="1:8" ht="13.5" customHeight="1" x14ac:dyDescent="0.25">
      <c r="A1407" s="207" t="s">
        <v>2285</v>
      </c>
      <c r="B1407" s="211" t="s">
        <v>2238</v>
      </c>
      <c r="C1407" s="208"/>
      <c r="D1407" s="209">
        <v>72.25</v>
      </c>
      <c r="E1407" s="210">
        <v>1</v>
      </c>
      <c r="F1407" s="209">
        <f t="shared" si="22"/>
        <v>72.25</v>
      </c>
      <c r="G1407" s="208"/>
      <c r="H1407" s="208"/>
    </row>
    <row r="1408" spans="1:8" ht="13.5" customHeight="1" x14ac:dyDescent="0.25">
      <c r="A1408" s="207" t="s">
        <v>2286</v>
      </c>
      <c r="B1408" s="207" t="s">
        <v>1701</v>
      </c>
      <c r="C1408" s="208"/>
      <c r="D1408" s="209">
        <v>11.27</v>
      </c>
      <c r="E1408" s="210"/>
      <c r="F1408" s="209">
        <f t="shared" si="22"/>
        <v>0</v>
      </c>
      <c r="G1408" s="208"/>
      <c r="H1408" s="208"/>
    </row>
    <row r="1409" spans="1:8" ht="13.5" customHeight="1" x14ac:dyDescent="0.25">
      <c r="A1409" s="207" t="s">
        <v>548</v>
      </c>
      <c r="B1409" s="207" t="s">
        <v>1701</v>
      </c>
      <c r="C1409" s="208"/>
      <c r="D1409" s="209">
        <v>11.92</v>
      </c>
      <c r="E1409" s="210">
        <v>5</v>
      </c>
      <c r="F1409" s="209">
        <f t="shared" si="22"/>
        <v>59.6</v>
      </c>
      <c r="G1409" s="208"/>
      <c r="H1409" s="208"/>
    </row>
    <row r="1410" spans="1:8" ht="13.5" customHeight="1" x14ac:dyDescent="0.25">
      <c r="A1410" s="207" t="s">
        <v>554</v>
      </c>
      <c r="B1410" s="207" t="s">
        <v>1701</v>
      </c>
      <c r="C1410" s="208"/>
      <c r="D1410" s="209">
        <v>11.46</v>
      </c>
      <c r="E1410" s="210"/>
      <c r="F1410" s="209">
        <f t="shared" si="22"/>
        <v>0</v>
      </c>
      <c r="G1410" s="208"/>
      <c r="H1410" s="208"/>
    </row>
    <row r="1411" spans="1:8" ht="13.5" customHeight="1" x14ac:dyDescent="0.25">
      <c r="A1411" s="207" t="s">
        <v>556</v>
      </c>
      <c r="B1411" s="207" t="s">
        <v>1701</v>
      </c>
      <c r="C1411" s="208"/>
      <c r="D1411" s="209">
        <v>17.79</v>
      </c>
      <c r="E1411" s="210">
        <v>9</v>
      </c>
      <c r="F1411" s="209">
        <f t="shared" si="22"/>
        <v>160.10999999999999</v>
      </c>
      <c r="G1411" s="208"/>
      <c r="H1411" s="208"/>
    </row>
    <row r="1412" spans="1:8" ht="13.5" customHeight="1" x14ac:dyDescent="0.25">
      <c r="A1412" s="207" t="s">
        <v>558</v>
      </c>
      <c r="B1412" s="207" t="s">
        <v>1701</v>
      </c>
      <c r="C1412" s="208"/>
      <c r="D1412" s="209">
        <v>9.2200000000000006</v>
      </c>
      <c r="E1412" s="210"/>
      <c r="F1412" s="209">
        <f t="shared" si="22"/>
        <v>0</v>
      </c>
      <c r="G1412" s="208"/>
      <c r="H1412" s="208"/>
    </row>
    <row r="1413" spans="1:8" ht="13.5" customHeight="1" x14ac:dyDescent="0.25">
      <c r="A1413" s="207" t="s">
        <v>2287</v>
      </c>
      <c r="B1413" s="208"/>
      <c r="C1413" s="208"/>
      <c r="D1413" s="209">
        <v>11.13</v>
      </c>
      <c r="E1413" s="210">
        <v>1</v>
      </c>
      <c r="F1413" s="209">
        <f t="shared" si="22"/>
        <v>11.13</v>
      </c>
      <c r="G1413" s="208"/>
      <c r="H1413" s="208"/>
    </row>
    <row r="1414" spans="1:8" ht="13.5" customHeight="1" x14ac:dyDescent="0.25">
      <c r="A1414" s="207" t="s">
        <v>2288</v>
      </c>
      <c r="B1414" s="208"/>
      <c r="C1414" s="208"/>
      <c r="D1414" s="209">
        <v>13.9</v>
      </c>
      <c r="E1414" s="210"/>
      <c r="F1414" s="209">
        <f t="shared" si="22"/>
        <v>0</v>
      </c>
      <c r="G1414" s="208"/>
      <c r="H1414" s="208"/>
    </row>
    <row r="1415" spans="1:8" ht="13.5" customHeight="1" x14ac:dyDescent="0.25">
      <c r="A1415" s="207" t="s">
        <v>2289</v>
      </c>
      <c r="B1415" s="211" t="s">
        <v>2238</v>
      </c>
      <c r="C1415" s="208" t="s">
        <v>2290</v>
      </c>
      <c r="D1415" s="209">
        <v>148</v>
      </c>
      <c r="E1415" s="210">
        <v>1</v>
      </c>
      <c r="F1415" s="209">
        <f t="shared" ref="F1415:F1430" si="23">D1415*E1415</f>
        <v>148</v>
      </c>
      <c r="G1415" s="211" t="s">
        <v>767</v>
      </c>
      <c r="H1415" s="208"/>
    </row>
    <row r="1416" spans="1:8" ht="13.5" customHeight="1" x14ac:dyDescent="0.25">
      <c r="A1416" s="207" t="s">
        <v>2291</v>
      </c>
      <c r="B1416" s="208"/>
      <c r="C1416" s="208"/>
      <c r="D1416" s="209">
        <v>42.87</v>
      </c>
      <c r="E1416" s="210">
        <v>0</v>
      </c>
      <c r="F1416" s="209">
        <f t="shared" si="23"/>
        <v>0</v>
      </c>
      <c r="G1416" s="211"/>
      <c r="H1416" s="208"/>
    </row>
    <row r="1417" spans="1:8" ht="13.5" customHeight="1" x14ac:dyDescent="0.25">
      <c r="A1417" s="207" t="s">
        <v>2292</v>
      </c>
      <c r="B1417" s="211" t="s">
        <v>2238</v>
      </c>
      <c r="C1417" s="208"/>
      <c r="D1417" s="209">
        <v>36.020000000000003</v>
      </c>
      <c r="E1417" s="210"/>
      <c r="F1417" s="209">
        <f t="shared" si="23"/>
        <v>0</v>
      </c>
      <c r="G1417" s="208"/>
      <c r="H1417" s="208"/>
    </row>
    <row r="1418" spans="1:8" ht="13.5" customHeight="1" x14ac:dyDescent="0.25">
      <c r="A1418" s="207" t="s">
        <v>2293</v>
      </c>
      <c r="B1418" s="211" t="s">
        <v>2238</v>
      </c>
      <c r="C1418" s="208">
        <v>3</v>
      </c>
      <c r="D1418" s="209">
        <v>29.95</v>
      </c>
      <c r="E1418" s="210">
        <v>0.75</v>
      </c>
      <c r="F1418" s="209">
        <f t="shared" si="23"/>
        <v>22.462499999999999</v>
      </c>
      <c r="G1418" s="208"/>
      <c r="H1418" s="208"/>
    </row>
    <row r="1419" spans="1:8" ht="13.5" customHeight="1" x14ac:dyDescent="0.25">
      <c r="A1419" s="207" t="s">
        <v>2294</v>
      </c>
      <c r="B1419" s="211" t="s">
        <v>2238</v>
      </c>
      <c r="C1419" s="208"/>
      <c r="D1419" s="209">
        <v>146</v>
      </c>
      <c r="E1419" s="210">
        <v>2</v>
      </c>
      <c r="F1419" s="209">
        <f t="shared" si="23"/>
        <v>292</v>
      </c>
      <c r="G1419" s="208"/>
      <c r="H1419" s="208"/>
    </row>
    <row r="1420" spans="1:8" ht="13.5" customHeight="1" x14ac:dyDescent="0.25">
      <c r="A1420" s="207" t="s">
        <v>2295</v>
      </c>
      <c r="B1420" s="211" t="s">
        <v>2238</v>
      </c>
      <c r="C1420" s="208"/>
      <c r="D1420" s="209">
        <v>86.55</v>
      </c>
      <c r="E1420" s="210">
        <v>0.8</v>
      </c>
      <c r="F1420" s="209">
        <f t="shared" si="23"/>
        <v>69.239999999999995</v>
      </c>
      <c r="G1420" s="208"/>
      <c r="H1420" s="208"/>
    </row>
    <row r="1421" spans="1:8" ht="13.5" customHeight="1" x14ac:dyDescent="0.25">
      <c r="A1421" s="207" t="s">
        <v>2296</v>
      </c>
      <c r="B1421" s="214"/>
      <c r="C1421" s="208"/>
      <c r="D1421" s="209">
        <v>70.55</v>
      </c>
      <c r="E1421" s="210">
        <v>1</v>
      </c>
      <c r="F1421" s="209">
        <f t="shared" si="23"/>
        <v>70.55</v>
      </c>
      <c r="G1421" s="208"/>
      <c r="H1421" s="208"/>
    </row>
    <row r="1422" spans="1:8" ht="13.5" customHeight="1" x14ac:dyDescent="0.25">
      <c r="A1422" s="207" t="s">
        <v>2297</v>
      </c>
      <c r="B1422" s="214"/>
      <c r="C1422" s="208"/>
      <c r="D1422" s="209">
        <v>123.87</v>
      </c>
      <c r="E1422" s="210">
        <v>1</v>
      </c>
      <c r="F1422" s="209">
        <f t="shared" si="23"/>
        <v>123.87</v>
      </c>
      <c r="G1422" s="208"/>
      <c r="H1422" s="208"/>
    </row>
    <row r="1423" spans="1:8" ht="13.5" customHeight="1" x14ac:dyDescent="0.25">
      <c r="A1423" s="207" t="s">
        <v>582</v>
      </c>
      <c r="B1423" s="207" t="s">
        <v>1701</v>
      </c>
      <c r="C1423" s="208"/>
      <c r="D1423" s="209">
        <v>13.26</v>
      </c>
      <c r="E1423" s="210">
        <v>6</v>
      </c>
      <c r="F1423" s="209">
        <f t="shared" si="23"/>
        <v>79.56</v>
      </c>
      <c r="G1423" s="211" t="s">
        <v>900</v>
      </c>
      <c r="H1423" s="208"/>
    </row>
    <row r="1424" spans="1:8" ht="13.5" customHeight="1" x14ac:dyDescent="0.25">
      <c r="A1424" s="207" t="s">
        <v>2298</v>
      </c>
      <c r="B1424" s="208"/>
      <c r="C1424" s="208"/>
      <c r="D1424" s="209">
        <v>45.82</v>
      </c>
      <c r="E1424" s="210">
        <v>1</v>
      </c>
      <c r="F1424" s="209">
        <f t="shared" si="23"/>
        <v>45.82</v>
      </c>
      <c r="G1424" s="208"/>
      <c r="H1424" s="208"/>
    </row>
    <row r="1425" spans="1:8" ht="13.5" customHeight="1" x14ac:dyDescent="0.25">
      <c r="A1425" s="207" t="s">
        <v>2299</v>
      </c>
      <c r="B1425" s="208"/>
      <c r="C1425" s="208"/>
      <c r="D1425" s="209">
        <v>113.95</v>
      </c>
      <c r="E1425" s="210">
        <v>1.8</v>
      </c>
      <c r="F1425" s="209">
        <f t="shared" si="23"/>
        <v>205.11</v>
      </c>
      <c r="G1425" s="208"/>
      <c r="H1425" s="208"/>
    </row>
    <row r="1426" spans="1:8" ht="13.5" customHeight="1" x14ac:dyDescent="0.25">
      <c r="A1426" s="207" t="s">
        <v>2300</v>
      </c>
      <c r="B1426" s="207" t="s">
        <v>1701</v>
      </c>
      <c r="C1426" s="208"/>
      <c r="D1426" s="209">
        <v>31.21</v>
      </c>
      <c r="E1426" s="210">
        <v>2</v>
      </c>
      <c r="F1426" s="209">
        <f t="shared" si="23"/>
        <v>62.42</v>
      </c>
      <c r="G1426" s="208"/>
      <c r="H1426" s="208"/>
    </row>
    <row r="1427" spans="1:8" ht="13.5" customHeight="1" x14ac:dyDescent="0.25">
      <c r="A1427" s="207" t="s">
        <v>2301</v>
      </c>
      <c r="B1427" s="208"/>
      <c r="C1427" s="208"/>
      <c r="D1427" s="209">
        <v>19.170000000000002</v>
      </c>
      <c r="E1427" s="210">
        <v>0.5</v>
      </c>
      <c r="F1427" s="209">
        <f t="shared" si="23"/>
        <v>9.5850000000000009</v>
      </c>
      <c r="G1427" s="208"/>
      <c r="H1427" s="208"/>
    </row>
    <row r="1428" spans="1:8" ht="13.5" customHeight="1" x14ac:dyDescent="0.25">
      <c r="A1428" s="207" t="s">
        <v>584</v>
      </c>
      <c r="B1428" s="207" t="s">
        <v>1701</v>
      </c>
      <c r="C1428" s="208"/>
      <c r="D1428" s="209">
        <v>6.74</v>
      </c>
      <c r="E1428" s="210"/>
      <c r="F1428" s="209">
        <f t="shared" si="23"/>
        <v>0</v>
      </c>
      <c r="G1428" s="208"/>
      <c r="H1428" s="208"/>
    </row>
    <row r="1429" spans="1:8" ht="13.5" customHeight="1" x14ac:dyDescent="0.25">
      <c r="A1429" s="207" t="s">
        <v>2302</v>
      </c>
      <c r="B1429" s="207" t="s">
        <v>1701</v>
      </c>
      <c r="C1429" s="208"/>
      <c r="D1429" s="209">
        <v>10.55</v>
      </c>
      <c r="E1429" s="210">
        <v>6</v>
      </c>
      <c r="F1429" s="209">
        <f t="shared" si="23"/>
        <v>63.300000000000004</v>
      </c>
      <c r="G1429" s="208"/>
      <c r="H1429" s="208"/>
    </row>
    <row r="1430" spans="1:8" ht="13.5" customHeight="1" x14ac:dyDescent="0.25">
      <c r="A1430" s="207" t="s">
        <v>2303</v>
      </c>
      <c r="B1430" s="207" t="s">
        <v>1701</v>
      </c>
      <c r="C1430" s="208"/>
      <c r="D1430" s="209">
        <v>9.2100000000000009</v>
      </c>
      <c r="E1430" s="210">
        <v>2</v>
      </c>
      <c r="F1430" s="209">
        <f t="shared" si="23"/>
        <v>18.420000000000002</v>
      </c>
      <c r="G1430" s="208"/>
      <c r="H1430" s="208"/>
    </row>
    <row r="1431" spans="1:8" ht="13.5" customHeight="1" x14ac:dyDescent="0.25"/>
    <row r="1432" spans="1:8" ht="13.5" customHeight="1" x14ac:dyDescent="0.25"/>
    <row r="1433" spans="1:8" ht="13.5" customHeight="1" x14ac:dyDescent="0.25"/>
    <row r="1434" spans="1:8" ht="15.75" customHeight="1" x14ac:dyDescent="0.25">
      <c r="F1434" s="205">
        <f>SUM(F2:F1433)</f>
        <v>40947.177101666668</v>
      </c>
      <c r="G1434" s="204" t="s">
        <v>2304</v>
      </c>
    </row>
    <row r="1435" spans="1:8" ht="15.75" customHeight="1" x14ac:dyDescent="0.25">
      <c r="E1435" s="206"/>
      <c r="F1435" s="205">
        <v>0</v>
      </c>
      <c r="G1435" s="204"/>
    </row>
    <row r="1436" spans="1:8" ht="14.1" customHeight="1" x14ac:dyDescent="0.25">
      <c r="F1436" s="205"/>
    </row>
    <row r="1437" spans="1:8" ht="13.5" customHeight="1" x14ac:dyDescent="0.25">
      <c r="F1437" s="205">
        <f>SUM(F1434:F1436)</f>
        <v>40947.177101666668</v>
      </c>
      <c r="G1437" s="204" t="s">
        <v>2305</v>
      </c>
    </row>
    <row r="1438" spans="1:8" ht="13.5" customHeight="1" x14ac:dyDescent="0.25"/>
    <row r="1439" spans="1:8" ht="13.5" customHeight="1" x14ac:dyDescent="0.25"/>
    <row r="1440" spans="1:8" ht="13.5" customHeight="1" x14ac:dyDescent="0.25"/>
    <row r="1441" spans="11:11" ht="13.5" customHeight="1" x14ac:dyDescent="0.25">
      <c r="K1441" s="203">
        <v>38356.283620000002</v>
      </c>
    </row>
    <row r="1442" spans="11:11" ht="13.5" customHeight="1" x14ac:dyDescent="0.25">
      <c r="K1442" s="203">
        <v>984.56</v>
      </c>
    </row>
    <row r="1443" spans="11:11" ht="13.5" customHeight="1" x14ac:dyDescent="0.25">
      <c r="K1443" s="203">
        <v>3049.16</v>
      </c>
    </row>
    <row r="1444" spans="11:11" ht="13.5" customHeight="1" x14ac:dyDescent="0.25">
      <c r="K1444" s="203">
        <v>42390.003620000003</v>
      </c>
    </row>
  </sheetData>
  <conditionalFormatting sqref="A328">
    <cfRule type="cellIs" dxfId="0" priority="1" stopIfTrue="1" operator="lessThan">
      <formula>0</formula>
    </cfRule>
  </conditionalFormatting>
  <pageMargins left="0.7" right="0.7" top="0.75" bottom="0.75" header="0.3" footer="0.3"/>
  <pageSetup paperSize="9" fitToHeight="0" orientation="portrait"/>
  <headerFooter>
    <oddFooter>&amp;C&amp;"ヒラギノ角ゴ ProN W3,Regular"&amp;12&amp;K000000&amp;P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B891B-EA92-4C3C-B90A-8F708FE6943D}">
  <sheetPr>
    <outlinePr summaryBelow="0" summaryRight="0"/>
    <pageSetUpPr fitToPage="1"/>
  </sheetPr>
  <dimension ref="A1:AE1012"/>
  <sheetViews>
    <sheetView zoomScale="50" zoomScaleNormal="50" workbookViewId="0">
      <pane ySplit="11" topLeftCell="A12" activePane="bottomLeft" state="frozen"/>
      <selection pane="bottomLeft" activeCell="B8" sqref="B8"/>
    </sheetView>
  </sheetViews>
  <sheetFormatPr defaultColWidth="14.42578125" defaultRowHeight="15" customHeight="1" x14ac:dyDescent="0.25"/>
  <cols>
    <col min="1" max="1" width="1.140625" style="37" customWidth="1"/>
    <col min="2" max="2" width="68.42578125" style="37" customWidth="1"/>
    <col min="3" max="3" width="37.7109375" style="37" customWidth="1"/>
    <col min="4" max="4" width="31.5703125" style="37" customWidth="1"/>
    <col min="5" max="5" width="16.42578125" style="37" customWidth="1"/>
    <col min="6" max="6" width="18.140625" style="37" customWidth="1"/>
    <col min="7" max="7" width="21" style="37" customWidth="1"/>
    <col min="8" max="8" width="2.7109375" style="37" customWidth="1"/>
    <col min="9" max="9" width="16.85546875" style="37" customWidth="1"/>
    <col min="10" max="10" width="12.5703125" style="37" customWidth="1"/>
    <col min="11" max="11" width="10.140625" style="37" customWidth="1"/>
    <col min="12" max="12" width="12.85546875" style="37" customWidth="1"/>
    <col min="13" max="13" width="47.140625" style="37" customWidth="1"/>
    <col min="14" max="14" width="37.42578125" style="37" customWidth="1"/>
    <col min="15" max="15" width="16.85546875" style="37" customWidth="1"/>
    <col min="16" max="16" width="18.140625" style="37" customWidth="1"/>
    <col min="17" max="17" width="24.7109375" style="37" customWidth="1"/>
    <col min="18" max="18" width="12.85546875" style="37" customWidth="1"/>
    <col min="19" max="20" width="46.42578125" style="37" customWidth="1"/>
    <col min="21" max="21" width="29" style="37" customWidth="1"/>
    <col min="22" max="22" width="14.42578125" style="37" customWidth="1"/>
    <col min="23" max="23" width="10.7109375" style="37" customWidth="1"/>
    <col min="24" max="24" width="16.28515625" style="37" customWidth="1"/>
    <col min="25" max="25" width="2.5703125" style="37" customWidth="1"/>
    <col min="26" max="26" width="12.5703125" style="37" customWidth="1"/>
    <col min="27" max="31" width="9.140625" style="37" customWidth="1"/>
    <col min="32" max="16384" width="14.42578125" style="37"/>
  </cols>
  <sheetData>
    <row r="1" spans="1:31" ht="27.95" hidden="1" customHeight="1" x14ac:dyDescent="0.4">
      <c r="A1" s="33" t="s">
        <v>618</v>
      </c>
      <c r="B1" s="34" t="s">
        <v>618</v>
      </c>
      <c r="C1" s="35"/>
      <c r="D1" s="36"/>
      <c r="E1" s="36"/>
      <c r="F1" s="36"/>
      <c r="G1" s="36"/>
      <c r="I1" s="38"/>
      <c r="J1" s="39"/>
      <c r="K1" s="39"/>
    </row>
    <row r="2" spans="1:31" ht="17.100000000000001" hidden="1" customHeight="1" x14ac:dyDescent="0.25">
      <c r="A2" s="40" t="s">
        <v>619</v>
      </c>
      <c r="B2" s="40" t="s">
        <v>620</v>
      </c>
      <c r="D2" s="41"/>
      <c r="E2" s="41"/>
      <c r="F2" s="41"/>
      <c r="G2" s="41"/>
      <c r="I2" s="38"/>
      <c r="J2" s="39"/>
      <c r="K2" s="39"/>
    </row>
    <row r="3" spans="1:31" ht="17.100000000000001" hidden="1" customHeight="1" x14ac:dyDescent="0.25">
      <c r="A3" s="40"/>
      <c r="B3" s="40" t="s">
        <v>621</v>
      </c>
      <c r="D3" s="41"/>
      <c r="E3" s="41"/>
      <c r="F3" s="41"/>
      <c r="G3" s="41"/>
      <c r="I3" s="38"/>
      <c r="J3" s="39"/>
      <c r="K3" s="39"/>
    </row>
    <row r="4" spans="1:31" ht="18" hidden="1" customHeight="1" x14ac:dyDescent="0.25">
      <c r="A4" s="40"/>
      <c r="B4" s="40" t="s">
        <v>622</v>
      </c>
      <c r="D4" s="39"/>
      <c r="E4" s="42"/>
      <c r="F4" s="43"/>
      <c r="G4" s="38"/>
      <c r="I4" s="38"/>
      <c r="J4" s="39"/>
      <c r="K4" s="39"/>
    </row>
    <row r="5" spans="1:31" ht="18" hidden="1" customHeight="1" x14ac:dyDescent="0.25">
      <c r="A5" s="40"/>
      <c r="B5" s="40" t="s">
        <v>623</v>
      </c>
      <c r="D5" s="39"/>
      <c r="E5" s="42"/>
      <c r="F5" s="43"/>
      <c r="G5" s="38"/>
      <c r="I5" s="38"/>
      <c r="J5" s="39"/>
      <c r="K5" s="39"/>
    </row>
    <row r="6" spans="1:31" ht="21" hidden="1" customHeight="1" x14ac:dyDescent="0.25">
      <c r="A6" s="40"/>
      <c r="B6" s="40" t="s">
        <v>624</v>
      </c>
      <c r="D6" s="39"/>
      <c r="E6" s="42"/>
      <c r="F6" s="43"/>
      <c r="G6" s="38"/>
      <c r="I6" s="38"/>
      <c r="J6" s="39"/>
      <c r="K6" s="39"/>
    </row>
    <row r="7" spans="1:31" ht="24" hidden="1" customHeight="1" x14ac:dyDescent="0.35">
      <c r="D7" s="44"/>
      <c r="E7" s="42"/>
      <c r="F7" s="43"/>
      <c r="G7" s="38"/>
      <c r="I7" s="38"/>
      <c r="J7" s="39"/>
      <c r="K7" s="39"/>
    </row>
    <row r="8" spans="1:31" ht="37.5" customHeight="1" thickTop="1" thickBot="1" x14ac:dyDescent="0.45">
      <c r="B8" s="45" t="s">
        <v>625</v>
      </c>
      <c r="C8" s="46" t="s">
        <v>626</v>
      </c>
      <c r="D8" s="47"/>
      <c r="E8" s="44"/>
      <c r="F8" s="48"/>
      <c r="G8" s="49"/>
      <c r="H8" s="44"/>
      <c r="I8" s="49"/>
      <c r="J8" s="50"/>
      <c r="K8" s="50"/>
      <c r="L8" s="44"/>
      <c r="M8" s="44"/>
      <c r="N8" s="44"/>
      <c r="O8" s="44"/>
      <c r="P8" s="44"/>
      <c r="Q8" s="44"/>
    </row>
    <row r="9" spans="1:31" ht="27.75" thickTop="1" thickBot="1" x14ac:dyDescent="0.45">
      <c r="B9" s="51"/>
      <c r="C9" s="52">
        <v>45897</v>
      </c>
      <c r="D9" s="53"/>
      <c r="E9" s="44"/>
      <c r="F9" s="54"/>
      <c r="G9" s="49"/>
      <c r="H9" s="44"/>
      <c r="I9" s="49"/>
      <c r="J9" s="50"/>
      <c r="K9" s="50"/>
      <c r="L9" s="44"/>
      <c r="M9" s="44"/>
      <c r="N9" s="44"/>
      <c r="O9" s="44"/>
      <c r="P9" s="44"/>
      <c r="Q9" s="44"/>
    </row>
    <row r="10" spans="1:31" ht="21.75" customHeight="1" thickTop="1" thickBot="1" x14ac:dyDescent="0.4">
      <c r="B10" s="55" t="s">
        <v>627</v>
      </c>
      <c r="C10" s="55"/>
      <c r="D10" s="50"/>
      <c r="E10" s="56"/>
      <c r="F10" s="57"/>
      <c r="G10" s="49"/>
      <c r="H10" s="44"/>
      <c r="I10" s="49"/>
      <c r="J10" s="50"/>
      <c r="K10" s="50"/>
      <c r="L10" s="44"/>
      <c r="M10" s="44"/>
      <c r="N10" s="44"/>
      <c r="O10" s="44"/>
      <c r="P10" s="44"/>
      <c r="Q10" s="44"/>
    </row>
    <row r="11" spans="1:31" ht="84.75" customHeight="1" thickTop="1" thickBot="1" x14ac:dyDescent="0.4">
      <c r="A11" s="58"/>
      <c r="B11" s="59"/>
      <c r="C11" s="60" t="s">
        <v>628</v>
      </c>
      <c r="D11" s="61" t="s">
        <v>629</v>
      </c>
      <c r="E11" s="62" t="s">
        <v>630</v>
      </c>
      <c r="F11" s="63" t="s">
        <v>631</v>
      </c>
      <c r="G11" s="64" t="s">
        <v>632</v>
      </c>
      <c r="H11" s="44"/>
      <c r="I11" s="65" t="s">
        <v>633</v>
      </c>
      <c r="J11" s="65" t="s">
        <v>634</v>
      </c>
      <c r="K11" s="65" t="s">
        <v>635</v>
      </c>
      <c r="L11" s="44"/>
      <c r="M11" s="66"/>
      <c r="N11" s="61" t="s">
        <v>629</v>
      </c>
      <c r="O11" s="62" t="s">
        <v>630</v>
      </c>
      <c r="P11" s="67" t="s">
        <v>631</v>
      </c>
      <c r="Q11" s="64" t="s">
        <v>632</v>
      </c>
      <c r="R11" s="58"/>
      <c r="S11" s="54"/>
      <c r="T11" s="54"/>
      <c r="U11" s="68"/>
      <c r="V11" s="69"/>
      <c r="W11" s="54"/>
      <c r="X11" s="70"/>
      <c r="Y11" s="70"/>
      <c r="Z11" s="69"/>
      <c r="AA11" s="69"/>
      <c r="AB11" s="69"/>
      <c r="AC11" s="58"/>
      <c r="AD11" s="58"/>
      <c r="AE11" s="58"/>
    </row>
    <row r="12" spans="1:31" ht="28.5" customHeight="1" thickTop="1" thickBot="1" x14ac:dyDescent="0.3">
      <c r="A12" s="58"/>
      <c r="B12" s="71"/>
      <c r="C12" s="71"/>
      <c r="D12" s="54"/>
      <c r="E12" s="70"/>
      <c r="F12" s="72"/>
      <c r="G12" s="70"/>
      <c r="H12" s="58"/>
      <c r="I12" s="69"/>
      <c r="J12" s="69"/>
      <c r="K12" s="69"/>
      <c r="L12" s="58"/>
      <c r="M12" s="58"/>
      <c r="N12" s="58"/>
      <c r="O12" s="58"/>
      <c r="P12" s="58"/>
      <c r="Q12" s="58"/>
      <c r="R12" s="58"/>
      <c r="S12" s="54"/>
      <c r="T12" s="54"/>
      <c r="U12" s="70"/>
      <c r="V12" s="54"/>
      <c r="W12" s="70"/>
      <c r="X12" s="58"/>
      <c r="Y12" s="58"/>
      <c r="Z12" s="69"/>
      <c r="AA12" s="69"/>
      <c r="AB12" s="69"/>
      <c r="AC12" s="58"/>
      <c r="AD12" s="58"/>
      <c r="AE12" s="58"/>
    </row>
    <row r="13" spans="1:31" ht="60" customHeight="1" thickTop="1" thickBot="1" x14ac:dyDescent="0.45">
      <c r="A13" s="73"/>
      <c r="B13" s="74" t="s">
        <v>636</v>
      </c>
      <c r="C13" s="75"/>
      <c r="D13" s="75"/>
      <c r="E13" s="75"/>
      <c r="F13" s="76"/>
      <c r="G13" s="77"/>
      <c r="H13" s="44"/>
      <c r="I13" s="78"/>
      <c r="J13" s="78"/>
      <c r="K13" s="78"/>
      <c r="L13" s="47"/>
      <c r="M13" s="79" t="s">
        <v>637</v>
      </c>
      <c r="N13" s="80"/>
      <c r="O13" s="80"/>
      <c r="P13" s="80"/>
      <c r="Q13" s="81"/>
      <c r="R13" s="73"/>
      <c r="S13" s="82"/>
      <c r="T13" s="36"/>
      <c r="U13" s="36"/>
      <c r="V13" s="36"/>
      <c r="W13" s="36"/>
      <c r="X13" s="36"/>
      <c r="Y13" s="73"/>
      <c r="Z13" s="73"/>
      <c r="AA13" s="73"/>
      <c r="AB13" s="73"/>
      <c r="AC13" s="73"/>
      <c r="AD13" s="73"/>
      <c r="AE13" s="73"/>
    </row>
    <row r="14" spans="1:31" ht="60" customHeight="1" thickTop="1" thickBot="1" x14ac:dyDescent="0.3">
      <c r="A14" s="83"/>
      <c r="B14" s="84" t="s">
        <v>638</v>
      </c>
      <c r="C14" s="85"/>
      <c r="D14" s="86" t="s">
        <v>639</v>
      </c>
      <c r="E14" s="87">
        <f>I14/J14</f>
        <v>1.375</v>
      </c>
      <c r="F14" s="88">
        <v>0</v>
      </c>
      <c r="G14" s="89">
        <f>E14*F14</f>
        <v>0</v>
      </c>
      <c r="H14" s="90"/>
      <c r="I14" s="91">
        <v>55</v>
      </c>
      <c r="J14" s="92">
        <v>40</v>
      </c>
      <c r="K14" s="92">
        <v>2000</v>
      </c>
      <c r="L14" s="93"/>
      <c r="M14" s="94" t="s">
        <v>640</v>
      </c>
      <c r="N14" s="95" t="s">
        <v>641</v>
      </c>
      <c r="O14" s="96">
        <v>14.35</v>
      </c>
      <c r="P14" s="97"/>
      <c r="Q14" s="98">
        <f>O14*P14</f>
        <v>0</v>
      </c>
      <c r="R14" s="83"/>
      <c r="S14" s="83"/>
      <c r="T14" s="83"/>
      <c r="U14" s="99"/>
      <c r="V14" s="100"/>
      <c r="W14" s="99"/>
      <c r="X14" s="101"/>
      <c r="Y14" s="101"/>
      <c r="Z14" s="101"/>
      <c r="AA14" s="99"/>
      <c r="AB14" s="99"/>
      <c r="AC14" s="83"/>
      <c r="AD14" s="83"/>
      <c r="AE14" s="83"/>
    </row>
    <row r="15" spans="1:31" ht="60" customHeight="1" thickTop="1" thickBot="1" x14ac:dyDescent="0.3">
      <c r="A15" s="83"/>
      <c r="B15" s="102" t="s">
        <v>642</v>
      </c>
      <c r="C15" s="103" t="s">
        <v>643</v>
      </c>
      <c r="D15" s="104" t="s">
        <v>639</v>
      </c>
      <c r="E15" s="105">
        <v>5.2450000000000001</v>
      </c>
      <c r="F15" s="88">
        <v>21</v>
      </c>
      <c r="G15" s="106">
        <f>E15*F15</f>
        <v>110.145</v>
      </c>
      <c r="H15" s="90"/>
      <c r="I15" s="91">
        <v>63.35</v>
      </c>
      <c r="J15" s="92">
        <v>20</v>
      </c>
      <c r="K15" s="92">
        <v>1000</v>
      </c>
      <c r="L15" s="93"/>
      <c r="M15" s="94" t="s">
        <v>640</v>
      </c>
      <c r="N15" s="95" t="s">
        <v>644</v>
      </c>
      <c r="O15" s="96">
        <v>15.3</v>
      </c>
      <c r="P15" s="97">
        <v>3</v>
      </c>
      <c r="Q15" s="98">
        <f>O15*P15</f>
        <v>45.900000000000006</v>
      </c>
      <c r="R15" s="83"/>
      <c r="S15" s="83"/>
      <c r="T15" s="83"/>
      <c r="U15" s="99"/>
      <c r="V15" s="100"/>
      <c r="W15" s="99"/>
      <c r="X15" s="101"/>
      <c r="Y15" s="101"/>
      <c r="Z15" s="101"/>
      <c r="AA15" s="99"/>
      <c r="AB15" s="99"/>
      <c r="AC15" s="83"/>
      <c r="AD15" s="83"/>
      <c r="AE15" s="83"/>
    </row>
    <row r="16" spans="1:31" ht="60" customHeight="1" thickTop="1" thickBot="1" x14ac:dyDescent="0.3">
      <c r="A16" s="83"/>
      <c r="B16" s="107" t="s">
        <v>645</v>
      </c>
      <c r="C16" s="108" t="s">
        <v>646</v>
      </c>
      <c r="D16" s="92" t="s">
        <v>639</v>
      </c>
      <c r="E16" s="109">
        <v>7.415</v>
      </c>
      <c r="F16" s="88">
        <v>51</v>
      </c>
      <c r="G16" s="110">
        <f t="shared" ref="G16:G27" si="0">E16*F16</f>
        <v>378.16500000000002</v>
      </c>
      <c r="H16" s="90"/>
      <c r="I16" s="91">
        <v>89.45</v>
      </c>
      <c r="J16" s="92">
        <v>20</v>
      </c>
      <c r="K16" s="92">
        <v>1000</v>
      </c>
      <c r="L16" s="93"/>
      <c r="M16" s="111" t="s">
        <v>640</v>
      </c>
      <c r="N16" s="95" t="s">
        <v>647</v>
      </c>
      <c r="O16" s="112">
        <v>7.65</v>
      </c>
      <c r="P16" s="113">
        <v>0</v>
      </c>
      <c r="Q16" s="114">
        <f>O16*P16</f>
        <v>0</v>
      </c>
      <c r="R16" s="83"/>
      <c r="S16" s="83"/>
      <c r="T16" s="83"/>
      <c r="U16" s="99"/>
      <c r="V16" s="100"/>
      <c r="W16" s="99"/>
      <c r="X16" s="101"/>
      <c r="Y16" s="101"/>
      <c r="Z16" s="101"/>
      <c r="AA16" s="99"/>
      <c r="AB16" s="99"/>
      <c r="AC16" s="83"/>
      <c r="AD16" s="83"/>
      <c r="AE16" s="83"/>
    </row>
    <row r="17" spans="1:31" ht="60" customHeight="1" thickTop="1" thickBot="1" x14ac:dyDescent="0.3">
      <c r="A17" s="83"/>
      <c r="B17" s="107" t="s">
        <v>648</v>
      </c>
      <c r="C17" s="108" t="s">
        <v>649</v>
      </c>
      <c r="D17" s="92" t="s">
        <v>639</v>
      </c>
      <c r="E17" s="109">
        <f>I17/J17</f>
        <v>2.4</v>
      </c>
      <c r="F17" s="88">
        <v>17</v>
      </c>
      <c r="G17" s="110">
        <f t="shared" si="0"/>
        <v>40.799999999999997</v>
      </c>
      <c r="H17" s="90"/>
      <c r="I17" s="91">
        <v>48</v>
      </c>
      <c r="J17" s="92">
        <v>20</v>
      </c>
      <c r="K17" s="92">
        <v>1000</v>
      </c>
      <c r="L17" s="93"/>
      <c r="M17" s="111" t="s">
        <v>640</v>
      </c>
      <c r="N17" s="95" t="s">
        <v>650</v>
      </c>
      <c r="O17" s="112">
        <v>7.65</v>
      </c>
      <c r="P17" s="113">
        <v>0</v>
      </c>
      <c r="Q17" s="114">
        <f>O17*P17</f>
        <v>0</v>
      </c>
      <c r="R17" s="83"/>
      <c r="S17" s="83"/>
      <c r="T17" s="83"/>
      <c r="U17" s="99"/>
      <c r="V17" s="100"/>
      <c r="W17" s="99"/>
      <c r="X17" s="101"/>
      <c r="Y17" s="101"/>
      <c r="Z17" s="101"/>
      <c r="AA17" s="99"/>
      <c r="AB17" s="99"/>
      <c r="AC17" s="83"/>
      <c r="AD17" s="83"/>
      <c r="AE17" s="83"/>
    </row>
    <row r="18" spans="1:31" ht="60" customHeight="1" thickTop="1" thickBot="1" x14ac:dyDescent="0.3">
      <c r="A18" s="83"/>
      <c r="B18" s="107" t="s">
        <v>651</v>
      </c>
      <c r="C18" s="108" t="s">
        <v>652</v>
      </c>
      <c r="D18" s="92" t="s">
        <v>639</v>
      </c>
      <c r="E18" s="109">
        <f>I18/J18</f>
        <v>2.67</v>
      </c>
      <c r="F18" s="88">
        <v>22</v>
      </c>
      <c r="G18" s="110">
        <f t="shared" si="0"/>
        <v>58.739999999999995</v>
      </c>
      <c r="H18" s="90"/>
      <c r="I18" s="91">
        <v>53.4</v>
      </c>
      <c r="J18" s="92">
        <v>20</v>
      </c>
      <c r="K18" s="92">
        <v>1000</v>
      </c>
      <c r="L18" s="93"/>
      <c r="M18" s="115" t="s">
        <v>640</v>
      </c>
      <c r="N18" s="116" t="s">
        <v>653</v>
      </c>
      <c r="O18" s="117">
        <v>8.6</v>
      </c>
      <c r="P18" s="97"/>
      <c r="Q18" s="118">
        <f>O18*P18</f>
        <v>0</v>
      </c>
      <c r="R18" s="83"/>
      <c r="S18" s="83"/>
      <c r="T18" s="83"/>
      <c r="U18" s="99"/>
      <c r="V18" s="100"/>
      <c r="W18" s="99"/>
      <c r="X18" s="101"/>
      <c r="Y18" s="101"/>
      <c r="Z18" s="101"/>
      <c r="AA18" s="99"/>
      <c r="AB18" s="99"/>
      <c r="AC18" s="83"/>
      <c r="AD18" s="83"/>
      <c r="AE18" s="83"/>
    </row>
    <row r="19" spans="1:31" ht="60" customHeight="1" thickTop="1" thickBot="1" x14ac:dyDescent="0.3">
      <c r="A19" s="83"/>
      <c r="B19" s="107" t="s">
        <v>654</v>
      </c>
      <c r="C19" s="108" t="s">
        <v>655</v>
      </c>
      <c r="D19" s="92" t="s">
        <v>639</v>
      </c>
      <c r="E19" s="109">
        <f t="shared" ref="E19:E21" si="1">I19/J19</f>
        <v>7.0449999999999999</v>
      </c>
      <c r="F19" s="88">
        <v>13</v>
      </c>
      <c r="G19" s="110">
        <f t="shared" si="0"/>
        <v>91.584999999999994</v>
      </c>
      <c r="H19" s="90"/>
      <c r="I19" s="91">
        <v>70.45</v>
      </c>
      <c r="J19" s="92">
        <v>10</v>
      </c>
      <c r="K19" s="92">
        <v>500</v>
      </c>
      <c r="L19" s="93"/>
      <c r="M19" s="119"/>
      <c r="N19" s="120"/>
      <c r="O19" s="120"/>
      <c r="P19" s="120"/>
      <c r="Q19" s="121"/>
      <c r="R19" s="83"/>
      <c r="S19" s="83"/>
      <c r="T19" s="83"/>
      <c r="U19" s="99"/>
      <c r="V19" s="100"/>
      <c r="W19" s="99"/>
      <c r="X19" s="101"/>
      <c r="Y19" s="101"/>
      <c r="Z19" s="101"/>
      <c r="AA19" s="99"/>
      <c r="AB19" s="99"/>
      <c r="AC19" s="83"/>
      <c r="AD19" s="83"/>
      <c r="AE19" s="83"/>
    </row>
    <row r="20" spans="1:31" ht="60" customHeight="1" thickTop="1" thickBot="1" x14ac:dyDescent="0.3">
      <c r="A20" s="83"/>
      <c r="B20" s="107" t="s">
        <v>656</v>
      </c>
      <c r="C20" s="108" t="s">
        <v>657</v>
      </c>
      <c r="D20" s="92" t="s">
        <v>639</v>
      </c>
      <c r="E20" s="109">
        <f t="shared" si="1"/>
        <v>16.524999999999999</v>
      </c>
      <c r="F20" s="88">
        <v>3</v>
      </c>
      <c r="G20" s="110">
        <f t="shared" si="0"/>
        <v>49.574999999999996</v>
      </c>
      <c r="H20" s="90"/>
      <c r="I20" s="91">
        <v>66.099999999999994</v>
      </c>
      <c r="J20" s="92">
        <v>4</v>
      </c>
      <c r="K20" s="92">
        <v>1000</v>
      </c>
      <c r="L20" s="93"/>
      <c r="M20" s="122" t="s">
        <v>658</v>
      </c>
      <c r="N20" s="123"/>
      <c r="O20" s="123"/>
      <c r="P20" s="123"/>
      <c r="Q20" s="124"/>
      <c r="R20" s="83"/>
      <c r="S20" s="83"/>
      <c r="T20" s="83"/>
      <c r="U20" s="99"/>
      <c r="V20" s="100"/>
      <c r="W20" s="99"/>
      <c r="X20" s="101"/>
      <c r="Y20" s="101"/>
      <c r="Z20" s="101"/>
      <c r="AA20" s="99"/>
      <c r="AB20" s="99"/>
      <c r="AC20" s="83"/>
      <c r="AD20" s="83"/>
      <c r="AE20" s="83"/>
    </row>
    <row r="21" spans="1:31" ht="60" customHeight="1" thickTop="1" thickBot="1" x14ac:dyDescent="0.3">
      <c r="A21" s="83"/>
      <c r="B21" s="107" t="s">
        <v>659</v>
      </c>
      <c r="C21" s="108"/>
      <c r="D21" s="92" t="s">
        <v>639</v>
      </c>
      <c r="E21" s="109">
        <f t="shared" si="1"/>
        <v>10.137499999999999</v>
      </c>
      <c r="F21" s="88">
        <v>5.5</v>
      </c>
      <c r="G21" s="110">
        <f t="shared" si="0"/>
        <v>55.756249999999994</v>
      </c>
      <c r="H21" s="90"/>
      <c r="I21" s="91">
        <v>40.549999999999997</v>
      </c>
      <c r="J21" s="92">
        <v>4</v>
      </c>
      <c r="K21" s="92">
        <v>300</v>
      </c>
      <c r="L21" s="93"/>
      <c r="M21" s="125" t="s">
        <v>660</v>
      </c>
      <c r="N21" s="126" t="s">
        <v>661</v>
      </c>
      <c r="O21" s="127">
        <v>10</v>
      </c>
      <c r="P21" s="97"/>
      <c r="Q21" s="128">
        <f>O21*P21</f>
        <v>0</v>
      </c>
      <c r="R21" s="83"/>
      <c r="S21" s="83"/>
      <c r="T21" s="83"/>
      <c r="U21" s="99"/>
      <c r="V21" s="100"/>
      <c r="W21" s="99"/>
      <c r="X21" s="101"/>
      <c r="Y21" s="101"/>
      <c r="Z21" s="101"/>
      <c r="AA21" s="99"/>
      <c r="AB21" s="99"/>
      <c r="AC21" s="83"/>
      <c r="AD21" s="83"/>
      <c r="AE21" s="83"/>
    </row>
    <row r="22" spans="1:31" ht="60" customHeight="1" thickTop="1" thickBot="1" x14ac:dyDescent="0.3">
      <c r="A22" s="83"/>
      <c r="B22" s="107" t="s">
        <v>662</v>
      </c>
      <c r="C22" s="108" t="s">
        <v>663</v>
      </c>
      <c r="D22" s="92" t="s">
        <v>664</v>
      </c>
      <c r="E22" s="109">
        <v>0.23</v>
      </c>
      <c r="F22" s="88">
        <v>0</v>
      </c>
      <c r="G22" s="110">
        <f t="shared" si="0"/>
        <v>0</v>
      </c>
      <c r="H22" s="90"/>
      <c r="I22" s="91">
        <v>57.5</v>
      </c>
      <c r="J22" s="92"/>
      <c r="K22" s="92">
        <v>250</v>
      </c>
      <c r="L22" s="93"/>
      <c r="M22" s="94" t="s">
        <v>665</v>
      </c>
      <c r="N22" s="95" t="s">
        <v>666</v>
      </c>
      <c r="O22" s="96">
        <v>220</v>
      </c>
      <c r="P22" s="97">
        <v>0.8</v>
      </c>
      <c r="Q22" s="98">
        <f t="shared" ref="Q22:Q32" si="2">O22*P22</f>
        <v>176</v>
      </c>
      <c r="R22" s="83"/>
      <c r="S22" s="83"/>
      <c r="T22" s="83"/>
      <c r="U22" s="99"/>
      <c r="V22" s="100"/>
      <c r="W22" s="99"/>
      <c r="X22" s="101"/>
      <c r="Y22" s="101"/>
      <c r="Z22" s="101"/>
      <c r="AA22" s="99"/>
      <c r="AB22" s="99"/>
      <c r="AC22" s="83"/>
      <c r="AD22" s="83"/>
      <c r="AE22" s="83"/>
    </row>
    <row r="23" spans="1:31" ht="60" customHeight="1" thickTop="1" thickBot="1" x14ac:dyDescent="0.3">
      <c r="A23" s="83"/>
      <c r="B23" s="107" t="s">
        <v>667</v>
      </c>
      <c r="C23" s="108" t="s">
        <v>668</v>
      </c>
      <c r="D23" s="92" t="s">
        <v>661</v>
      </c>
      <c r="E23" s="109">
        <f>I23/J23</f>
        <v>0.86999999999999988</v>
      </c>
      <c r="F23" s="88">
        <v>13</v>
      </c>
      <c r="G23" s="110">
        <f t="shared" si="0"/>
        <v>11.309999999999999</v>
      </c>
      <c r="H23" s="90"/>
      <c r="I23" s="91">
        <v>17.399999999999999</v>
      </c>
      <c r="J23" s="92">
        <v>20</v>
      </c>
      <c r="K23" s="92"/>
      <c r="L23" s="93"/>
      <c r="M23" s="94" t="s">
        <v>669</v>
      </c>
      <c r="N23" s="95" t="s">
        <v>670</v>
      </c>
      <c r="O23" s="96">
        <v>22</v>
      </c>
      <c r="P23" s="97">
        <v>0</v>
      </c>
      <c r="Q23" s="98">
        <f t="shared" si="2"/>
        <v>0</v>
      </c>
      <c r="R23" s="83"/>
      <c r="S23" s="83"/>
      <c r="T23" s="83"/>
      <c r="U23" s="99"/>
      <c r="V23" s="100"/>
      <c r="W23" s="99"/>
      <c r="X23" s="101"/>
      <c r="Y23" s="101"/>
      <c r="Z23" s="101"/>
      <c r="AA23" s="99"/>
      <c r="AB23" s="99"/>
      <c r="AC23" s="83"/>
      <c r="AD23" s="83"/>
      <c r="AE23" s="83"/>
    </row>
    <row r="24" spans="1:31" ht="60" customHeight="1" thickTop="1" thickBot="1" x14ac:dyDescent="0.3">
      <c r="A24" s="83"/>
      <c r="B24" s="107" t="s">
        <v>671</v>
      </c>
      <c r="C24" s="108" t="s">
        <v>672</v>
      </c>
      <c r="D24" s="92" t="s">
        <v>673</v>
      </c>
      <c r="E24" s="109">
        <f t="shared" ref="E24:E27" si="3">I24/J24</f>
        <v>2.5649999999999999</v>
      </c>
      <c r="F24" s="88">
        <v>18</v>
      </c>
      <c r="G24" s="110">
        <f t="shared" si="0"/>
        <v>46.17</v>
      </c>
      <c r="H24" s="90"/>
      <c r="I24" s="91">
        <v>25.65</v>
      </c>
      <c r="J24" s="92">
        <v>10</v>
      </c>
      <c r="K24" s="92">
        <v>1000</v>
      </c>
      <c r="L24" s="93"/>
      <c r="M24" s="94" t="s">
        <v>674</v>
      </c>
      <c r="N24" s="95" t="s">
        <v>670</v>
      </c>
      <c r="O24" s="96">
        <v>25</v>
      </c>
      <c r="P24" s="97">
        <v>0</v>
      </c>
      <c r="Q24" s="98">
        <f t="shared" si="2"/>
        <v>0</v>
      </c>
      <c r="R24" s="83"/>
      <c r="S24" s="83"/>
      <c r="T24" s="83"/>
      <c r="U24" s="99"/>
      <c r="V24" s="100"/>
      <c r="W24" s="99"/>
      <c r="X24" s="101"/>
      <c r="Y24" s="101"/>
      <c r="Z24" s="101"/>
      <c r="AA24" s="99"/>
      <c r="AB24" s="99"/>
      <c r="AC24" s="83"/>
      <c r="AD24" s="83"/>
      <c r="AE24" s="83"/>
    </row>
    <row r="25" spans="1:31" ht="60" customHeight="1" thickTop="1" thickBot="1" x14ac:dyDescent="0.3">
      <c r="A25" s="83"/>
      <c r="B25" s="107" t="s">
        <v>675</v>
      </c>
      <c r="C25" s="108" t="s">
        <v>676</v>
      </c>
      <c r="D25" s="92" t="s">
        <v>677</v>
      </c>
      <c r="E25" s="109">
        <f t="shared" si="3"/>
        <v>2.9899999999999998</v>
      </c>
      <c r="F25" s="129">
        <v>17</v>
      </c>
      <c r="G25" s="110">
        <f t="shared" si="0"/>
        <v>50.83</v>
      </c>
      <c r="H25" s="90"/>
      <c r="I25" s="91">
        <v>29.9</v>
      </c>
      <c r="J25" s="92">
        <v>10</v>
      </c>
      <c r="K25" s="92">
        <v>1000</v>
      </c>
      <c r="L25" s="93"/>
      <c r="M25" s="94" t="s">
        <v>678</v>
      </c>
      <c r="N25" s="95" t="s">
        <v>670</v>
      </c>
      <c r="O25" s="96">
        <v>35</v>
      </c>
      <c r="P25" s="97">
        <v>0.25</v>
      </c>
      <c r="Q25" s="98">
        <f t="shared" si="2"/>
        <v>8.75</v>
      </c>
      <c r="R25" s="83"/>
      <c r="S25" s="83"/>
      <c r="T25" s="83"/>
      <c r="U25" s="99"/>
      <c r="V25" s="100"/>
      <c r="W25" s="99"/>
      <c r="X25" s="101"/>
      <c r="Y25" s="101"/>
      <c r="Z25" s="101"/>
      <c r="AA25" s="99"/>
      <c r="AB25" s="99"/>
      <c r="AC25" s="83"/>
      <c r="AD25" s="83"/>
      <c r="AE25" s="83"/>
    </row>
    <row r="26" spans="1:31" ht="60" customHeight="1" thickTop="1" thickBot="1" x14ac:dyDescent="0.3">
      <c r="A26" s="83"/>
      <c r="B26" s="107" t="s">
        <v>679</v>
      </c>
      <c r="C26" s="108"/>
      <c r="D26" s="92" t="s">
        <v>677</v>
      </c>
      <c r="E26" s="109">
        <f t="shared" si="3"/>
        <v>2.2199999999999998</v>
      </c>
      <c r="F26" s="129">
        <v>18</v>
      </c>
      <c r="G26" s="110">
        <f t="shared" si="0"/>
        <v>39.959999999999994</v>
      </c>
      <c r="H26" s="90"/>
      <c r="I26" s="91">
        <v>22.2</v>
      </c>
      <c r="J26" s="92">
        <v>10</v>
      </c>
      <c r="K26" s="92">
        <v>1000</v>
      </c>
      <c r="L26" s="93"/>
      <c r="M26" s="94" t="s">
        <v>680</v>
      </c>
      <c r="N26" s="95" t="s">
        <v>670</v>
      </c>
      <c r="O26" s="96">
        <v>35</v>
      </c>
      <c r="P26" s="97">
        <v>0.25</v>
      </c>
      <c r="Q26" s="98">
        <f t="shared" si="2"/>
        <v>8.75</v>
      </c>
      <c r="R26" s="83"/>
      <c r="S26" s="83"/>
      <c r="T26" s="83"/>
      <c r="U26" s="99"/>
      <c r="V26" s="100"/>
      <c r="W26" s="99"/>
      <c r="X26" s="101"/>
      <c r="Y26" s="101"/>
      <c r="Z26" s="101"/>
      <c r="AA26" s="99"/>
      <c r="AB26" s="99"/>
      <c r="AC26" s="83"/>
      <c r="AD26" s="83"/>
      <c r="AE26" s="83"/>
    </row>
    <row r="27" spans="1:31" ht="60" customHeight="1" thickTop="1" thickBot="1" x14ac:dyDescent="0.3">
      <c r="A27" s="83"/>
      <c r="B27" s="107" t="s">
        <v>681</v>
      </c>
      <c r="C27" s="130" t="s">
        <v>682</v>
      </c>
      <c r="D27" s="92" t="s">
        <v>677</v>
      </c>
      <c r="E27" s="109">
        <f t="shared" si="3"/>
        <v>2.7749999999999999</v>
      </c>
      <c r="F27" s="67">
        <v>19</v>
      </c>
      <c r="G27" s="110">
        <f t="shared" si="0"/>
        <v>52.725000000000001</v>
      </c>
      <c r="H27" s="90"/>
      <c r="I27" s="91">
        <v>27.75</v>
      </c>
      <c r="J27" s="92">
        <v>10</v>
      </c>
      <c r="K27" s="92">
        <v>1000</v>
      </c>
      <c r="L27" s="93"/>
      <c r="M27" s="94" t="s">
        <v>683</v>
      </c>
      <c r="N27" s="95" t="s">
        <v>684</v>
      </c>
      <c r="O27" s="96">
        <f>+(5.8+6.05+6.2+8)/4</f>
        <v>6.5125000000000002</v>
      </c>
      <c r="P27" s="97">
        <v>0</v>
      </c>
      <c r="Q27" s="98">
        <f t="shared" si="2"/>
        <v>0</v>
      </c>
      <c r="R27" s="83"/>
      <c r="S27" s="83"/>
      <c r="T27" s="83"/>
      <c r="U27" s="99"/>
      <c r="V27" s="100"/>
      <c r="W27" s="99"/>
      <c r="X27" s="101"/>
      <c r="Y27" s="101"/>
      <c r="Z27" s="101"/>
      <c r="AA27" s="99"/>
      <c r="AB27" s="99"/>
      <c r="AC27" s="83"/>
      <c r="AD27" s="83"/>
      <c r="AE27" s="83"/>
    </row>
    <row r="28" spans="1:31" ht="60" customHeight="1" thickTop="1" thickBot="1" x14ac:dyDescent="0.3">
      <c r="A28" s="83"/>
      <c r="B28" s="131" t="s">
        <v>685</v>
      </c>
      <c r="C28" s="132"/>
      <c r="D28" s="132"/>
      <c r="E28" s="132"/>
      <c r="F28" s="48"/>
      <c r="G28" s="133"/>
      <c r="H28" s="90"/>
      <c r="I28" s="134"/>
      <c r="J28" s="135"/>
      <c r="K28" s="135"/>
      <c r="L28" s="93"/>
      <c r="M28" s="94" t="s">
        <v>686</v>
      </c>
      <c r="N28" s="95" t="s">
        <v>670</v>
      </c>
      <c r="O28" s="96">
        <v>35</v>
      </c>
      <c r="P28" s="97">
        <v>0.5</v>
      </c>
      <c r="Q28" s="98">
        <f t="shared" si="2"/>
        <v>17.5</v>
      </c>
      <c r="R28" s="83"/>
      <c r="S28" s="83"/>
      <c r="T28" s="83"/>
      <c r="U28" s="99"/>
      <c r="V28" s="100"/>
      <c r="W28" s="99"/>
      <c r="X28" s="101"/>
      <c r="Y28" s="101"/>
      <c r="Z28" s="101"/>
      <c r="AA28" s="99"/>
      <c r="AB28" s="99"/>
      <c r="AC28" s="83"/>
      <c r="AD28" s="83"/>
      <c r="AE28" s="83"/>
    </row>
    <row r="29" spans="1:31" ht="60" customHeight="1" thickTop="1" thickBot="1" x14ac:dyDescent="0.3">
      <c r="A29" s="83"/>
      <c r="B29" s="84" t="s">
        <v>687</v>
      </c>
      <c r="C29" s="85"/>
      <c r="D29" s="86" t="s">
        <v>688</v>
      </c>
      <c r="E29" s="87">
        <v>10.99</v>
      </c>
      <c r="F29" s="67">
        <v>2</v>
      </c>
      <c r="G29" s="89">
        <f t="shared" ref="G29:G44" si="4">E29*F29</f>
        <v>21.98</v>
      </c>
      <c r="H29" s="90"/>
      <c r="I29" s="134"/>
      <c r="J29" s="135"/>
      <c r="K29" s="135"/>
      <c r="L29" s="93"/>
      <c r="M29" s="94" t="s">
        <v>689</v>
      </c>
      <c r="N29" s="95" t="s">
        <v>670</v>
      </c>
      <c r="O29" s="96">
        <v>17</v>
      </c>
      <c r="P29" s="97">
        <v>0.25</v>
      </c>
      <c r="Q29" s="98">
        <f t="shared" si="2"/>
        <v>4.25</v>
      </c>
      <c r="R29" s="83"/>
      <c r="S29" s="83"/>
      <c r="T29" s="83"/>
      <c r="U29" s="99"/>
      <c r="V29" s="100"/>
      <c r="W29" s="99"/>
      <c r="X29" s="101"/>
      <c r="Y29" s="101"/>
      <c r="Z29" s="101"/>
      <c r="AA29" s="99"/>
      <c r="AB29" s="99"/>
      <c r="AC29" s="83"/>
      <c r="AD29" s="83"/>
      <c r="AE29" s="83"/>
    </row>
    <row r="30" spans="1:31" ht="60" customHeight="1" thickTop="1" thickBot="1" x14ac:dyDescent="0.3">
      <c r="A30" s="83"/>
      <c r="B30" s="107" t="s">
        <v>690</v>
      </c>
      <c r="C30" s="103"/>
      <c r="D30" s="104" t="s">
        <v>688</v>
      </c>
      <c r="E30" s="109">
        <v>10.99</v>
      </c>
      <c r="F30" s="88">
        <v>2</v>
      </c>
      <c r="G30" s="89">
        <f t="shared" si="4"/>
        <v>21.98</v>
      </c>
      <c r="H30" s="90"/>
      <c r="I30" s="134"/>
      <c r="J30" s="135"/>
      <c r="K30" s="135"/>
      <c r="L30" s="93"/>
      <c r="M30" s="94" t="s">
        <v>691</v>
      </c>
      <c r="N30" s="95" t="s">
        <v>692</v>
      </c>
      <c r="O30" s="96">
        <v>38.5</v>
      </c>
      <c r="P30" s="97">
        <v>2</v>
      </c>
      <c r="Q30" s="98">
        <f t="shared" si="2"/>
        <v>77</v>
      </c>
      <c r="R30" s="83"/>
      <c r="S30" s="83"/>
      <c r="T30" s="83"/>
      <c r="U30" s="99"/>
      <c r="V30" s="100"/>
      <c r="W30" s="99"/>
      <c r="X30" s="101"/>
      <c r="Y30" s="101"/>
      <c r="Z30" s="101"/>
      <c r="AA30" s="99"/>
      <c r="AB30" s="99"/>
      <c r="AC30" s="83"/>
      <c r="AD30" s="83"/>
      <c r="AE30" s="83"/>
    </row>
    <row r="31" spans="1:31" ht="60" customHeight="1" thickTop="1" thickBot="1" x14ac:dyDescent="0.3">
      <c r="A31" s="83"/>
      <c r="B31" s="107" t="s">
        <v>693</v>
      </c>
      <c r="C31" s="108"/>
      <c r="D31" s="92" t="s">
        <v>688</v>
      </c>
      <c r="E31" s="109">
        <v>10.99</v>
      </c>
      <c r="F31" s="88">
        <v>4</v>
      </c>
      <c r="G31" s="110">
        <f t="shared" si="4"/>
        <v>43.96</v>
      </c>
      <c r="H31" s="90"/>
      <c r="I31" s="91">
        <v>18.16</v>
      </c>
      <c r="J31" s="92">
        <v>10</v>
      </c>
      <c r="K31" s="92">
        <v>500</v>
      </c>
      <c r="L31" s="93"/>
      <c r="M31" s="111" t="s">
        <v>694</v>
      </c>
      <c r="N31" s="136" t="s">
        <v>695</v>
      </c>
      <c r="O31" s="112">
        <v>15</v>
      </c>
      <c r="P31" s="97">
        <v>1.6</v>
      </c>
      <c r="Q31" s="137">
        <f t="shared" si="2"/>
        <v>24</v>
      </c>
      <c r="R31" s="83"/>
      <c r="S31" s="138"/>
      <c r="T31" s="138"/>
      <c r="U31" s="138"/>
      <c r="V31" s="138"/>
      <c r="W31" s="138"/>
      <c r="X31" s="138"/>
      <c r="Y31" s="101"/>
      <c r="Z31" s="83"/>
      <c r="AA31" s="83"/>
      <c r="AB31" s="83"/>
      <c r="AC31" s="83"/>
      <c r="AD31" s="83"/>
      <c r="AE31" s="83"/>
    </row>
    <row r="32" spans="1:31" ht="60" customHeight="1" thickTop="1" thickBot="1" x14ac:dyDescent="0.3">
      <c r="A32" s="83"/>
      <c r="B32" s="107" t="s">
        <v>696</v>
      </c>
      <c r="C32" s="108"/>
      <c r="D32" s="92" t="s">
        <v>697</v>
      </c>
      <c r="E32" s="109">
        <f>I31/J31</f>
        <v>1.8160000000000001</v>
      </c>
      <c r="F32" s="88">
        <v>70</v>
      </c>
      <c r="G32" s="110">
        <f t="shared" si="4"/>
        <v>127.12</v>
      </c>
      <c r="H32" s="90"/>
      <c r="I32" s="91">
        <v>15.5</v>
      </c>
      <c r="J32" s="92">
        <v>10</v>
      </c>
      <c r="K32" s="92">
        <v>1000</v>
      </c>
      <c r="L32" s="93"/>
      <c r="M32" s="139" t="s">
        <v>698</v>
      </c>
      <c r="N32" s="140" t="s">
        <v>699</v>
      </c>
      <c r="O32" s="141">
        <v>35</v>
      </c>
      <c r="P32" s="97">
        <v>2</v>
      </c>
      <c r="Q32" s="137">
        <f t="shared" si="2"/>
        <v>70</v>
      </c>
      <c r="R32" s="83"/>
      <c r="S32" s="83"/>
      <c r="T32" s="83"/>
      <c r="U32" s="99"/>
      <c r="V32" s="100"/>
      <c r="W32" s="99"/>
      <c r="X32" s="101"/>
      <c r="Y32" s="101"/>
      <c r="Z32" s="83"/>
      <c r="AA32" s="83"/>
      <c r="AB32" s="83"/>
      <c r="AC32" s="83"/>
      <c r="AD32" s="83"/>
      <c r="AE32" s="83"/>
    </row>
    <row r="33" spans="1:31" ht="60" customHeight="1" thickTop="1" thickBot="1" x14ac:dyDescent="0.3">
      <c r="A33" s="83"/>
      <c r="B33" s="107" t="s">
        <v>700</v>
      </c>
      <c r="C33" s="108"/>
      <c r="D33" s="92" t="s">
        <v>701</v>
      </c>
      <c r="E33" s="109">
        <f>I32/J32</f>
        <v>1.55</v>
      </c>
      <c r="F33" s="88">
        <v>30</v>
      </c>
      <c r="G33" s="110">
        <f t="shared" si="4"/>
        <v>46.5</v>
      </c>
      <c r="H33" s="90"/>
      <c r="I33" s="91">
        <v>17.95</v>
      </c>
      <c r="J33" s="92"/>
      <c r="K33" s="92"/>
      <c r="L33" s="93"/>
      <c r="R33" s="83"/>
      <c r="S33" s="83"/>
      <c r="T33" s="83"/>
      <c r="U33" s="99"/>
      <c r="V33" s="100"/>
      <c r="W33" s="99"/>
      <c r="X33" s="101"/>
      <c r="Y33" s="101"/>
      <c r="Z33" s="101"/>
      <c r="AA33" s="99"/>
      <c r="AB33" s="99"/>
      <c r="AC33" s="83"/>
      <c r="AD33" s="83"/>
      <c r="AE33" s="83"/>
    </row>
    <row r="34" spans="1:31" ht="60" customHeight="1" thickTop="1" thickBot="1" x14ac:dyDescent="0.3">
      <c r="A34" s="83"/>
      <c r="B34" s="107" t="s">
        <v>702</v>
      </c>
      <c r="C34" s="108"/>
      <c r="D34" s="92" t="s">
        <v>697</v>
      </c>
      <c r="E34" s="109">
        <f>I31/J31</f>
        <v>1.8160000000000001</v>
      </c>
      <c r="F34" s="88"/>
      <c r="G34" s="110">
        <f t="shared" si="4"/>
        <v>0</v>
      </c>
      <c r="H34" s="90"/>
      <c r="I34" s="91">
        <v>59.3</v>
      </c>
      <c r="J34" s="92">
        <v>6</v>
      </c>
      <c r="K34" s="92">
        <v>24</v>
      </c>
      <c r="L34" s="93"/>
      <c r="M34" s="142"/>
      <c r="N34" s="143"/>
      <c r="O34" s="143"/>
      <c r="P34" s="143"/>
      <c r="Q34" s="143"/>
      <c r="R34" s="83"/>
      <c r="S34" s="83"/>
      <c r="T34" s="83"/>
      <c r="U34" s="99"/>
      <c r="V34" s="100"/>
      <c r="W34" s="99"/>
      <c r="X34" s="101"/>
      <c r="Y34" s="101"/>
      <c r="Z34" s="101"/>
      <c r="AA34" s="99"/>
      <c r="AB34" s="99"/>
      <c r="AC34" s="83"/>
      <c r="AD34" s="83"/>
      <c r="AE34" s="83"/>
    </row>
    <row r="35" spans="1:31" ht="60" customHeight="1" thickTop="1" thickBot="1" x14ac:dyDescent="0.3">
      <c r="A35" s="83"/>
      <c r="B35" s="107" t="s">
        <v>703</v>
      </c>
      <c r="C35" s="108"/>
      <c r="D35" s="92" t="s">
        <v>701</v>
      </c>
      <c r="E35" s="109">
        <f>I32/J32</f>
        <v>1.55</v>
      </c>
      <c r="F35" s="88"/>
      <c r="G35" s="110">
        <f t="shared" si="4"/>
        <v>0</v>
      </c>
      <c r="H35" s="90"/>
      <c r="I35" s="134"/>
      <c r="J35" s="135"/>
      <c r="K35" s="135"/>
      <c r="L35" s="93"/>
      <c r="M35" s="144" t="s">
        <v>704</v>
      </c>
      <c r="N35" s="145" t="s">
        <v>705</v>
      </c>
      <c r="O35" s="146">
        <v>0.14000000000000001</v>
      </c>
      <c r="P35" s="147">
        <v>0</v>
      </c>
      <c r="Q35" s="148">
        <f>O35*P35</f>
        <v>0</v>
      </c>
      <c r="R35" s="83"/>
      <c r="S35" s="83"/>
      <c r="T35" s="83"/>
      <c r="U35" s="99"/>
      <c r="V35" s="100"/>
      <c r="W35" s="99"/>
      <c r="X35" s="101"/>
      <c r="Y35" s="101"/>
      <c r="Z35" s="101"/>
      <c r="AA35" s="99"/>
      <c r="AB35" s="99"/>
      <c r="AC35" s="83"/>
      <c r="AD35" s="83"/>
      <c r="AE35" s="83"/>
    </row>
    <row r="36" spans="1:31" ht="60" customHeight="1" thickTop="1" thickBot="1" x14ac:dyDescent="0.3">
      <c r="A36" s="83"/>
      <c r="B36" s="107" t="s">
        <v>706</v>
      </c>
      <c r="C36" s="108"/>
      <c r="D36" s="92" t="s">
        <v>707</v>
      </c>
      <c r="E36" s="109">
        <v>17.95</v>
      </c>
      <c r="F36" s="88">
        <v>0.75</v>
      </c>
      <c r="G36" s="110">
        <f t="shared" si="4"/>
        <v>13.462499999999999</v>
      </c>
      <c r="H36" s="90"/>
      <c r="I36" s="91">
        <v>39.07</v>
      </c>
      <c r="J36" s="92">
        <v>16</v>
      </c>
      <c r="K36" s="92"/>
      <c r="L36" s="93"/>
      <c r="M36" s="149"/>
      <c r="N36" s="150"/>
      <c r="O36" s="150"/>
      <c r="P36" s="150"/>
      <c r="Q36" s="151"/>
      <c r="R36" s="83"/>
      <c r="S36" s="83"/>
      <c r="T36" s="83"/>
      <c r="U36" s="99"/>
      <c r="V36" s="100"/>
      <c r="W36" s="99"/>
      <c r="X36" s="101"/>
      <c r="Y36" s="101"/>
      <c r="Z36" s="101"/>
      <c r="AA36" s="99"/>
      <c r="AB36" s="99"/>
      <c r="AC36" s="83"/>
      <c r="AD36" s="83"/>
      <c r="AE36" s="83"/>
    </row>
    <row r="37" spans="1:31" ht="60" customHeight="1" thickTop="1" thickBot="1" x14ac:dyDescent="0.3">
      <c r="A37" s="83"/>
      <c r="B37" s="107" t="s">
        <v>708</v>
      </c>
      <c r="C37" s="108"/>
      <c r="D37" s="92" t="s">
        <v>709</v>
      </c>
      <c r="E37" s="109">
        <f>I34/K34</f>
        <v>2.4708333333333332</v>
      </c>
      <c r="F37" s="88">
        <v>42</v>
      </c>
      <c r="G37" s="110">
        <f t="shared" si="4"/>
        <v>103.77499999999999</v>
      </c>
      <c r="H37" s="90"/>
      <c r="I37" s="134"/>
      <c r="J37" s="135"/>
      <c r="K37" s="135"/>
      <c r="L37" s="93"/>
      <c r="M37" s="152" t="s">
        <v>710</v>
      </c>
      <c r="N37" s="126" t="s">
        <v>711</v>
      </c>
      <c r="O37" s="127">
        <v>58</v>
      </c>
      <c r="P37" s="153"/>
      <c r="Q37" s="128">
        <f t="shared" ref="Q37:Q46" si="5">O37*P37</f>
        <v>0</v>
      </c>
      <c r="R37" s="83"/>
      <c r="S37" s="83"/>
      <c r="T37" s="83"/>
      <c r="U37" s="99"/>
      <c r="V37" s="100"/>
      <c r="W37" s="99"/>
      <c r="X37" s="101"/>
      <c r="Y37" s="101"/>
      <c r="Z37" s="101"/>
      <c r="AA37" s="99"/>
      <c r="AB37" s="99"/>
      <c r="AC37" s="83"/>
      <c r="AD37" s="83"/>
      <c r="AE37" s="83"/>
    </row>
    <row r="38" spans="1:31" ht="60" customHeight="1" thickTop="1" thickBot="1" x14ac:dyDescent="0.3">
      <c r="A38" s="83"/>
      <c r="B38" s="107" t="s">
        <v>712</v>
      </c>
      <c r="C38" s="108" t="s">
        <v>713</v>
      </c>
      <c r="D38" s="92" t="s">
        <v>714</v>
      </c>
      <c r="E38" s="109">
        <v>9.64</v>
      </c>
      <c r="F38" s="88">
        <v>13</v>
      </c>
      <c r="G38" s="110">
        <f t="shared" si="4"/>
        <v>125.32000000000001</v>
      </c>
      <c r="H38" s="90"/>
      <c r="I38" s="134"/>
      <c r="J38" s="135"/>
      <c r="K38" s="135"/>
      <c r="L38" s="93"/>
      <c r="M38" s="154" t="s">
        <v>715</v>
      </c>
      <c r="N38" s="95" t="s">
        <v>711</v>
      </c>
      <c r="O38" s="96">
        <v>49</v>
      </c>
      <c r="P38" s="153">
        <v>0.22</v>
      </c>
      <c r="Q38" s="155">
        <f t="shared" si="5"/>
        <v>10.78</v>
      </c>
      <c r="R38" s="83"/>
      <c r="S38" s="83"/>
      <c r="T38" s="83"/>
      <c r="U38" s="99"/>
      <c r="V38" s="100"/>
      <c r="W38" s="99"/>
      <c r="X38" s="101"/>
      <c r="Y38" s="101"/>
      <c r="Z38" s="101"/>
      <c r="AA38" s="99"/>
      <c r="AB38" s="99"/>
      <c r="AC38" s="83"/>
      <c r="AD38" s="83"/>
      <c r="AE38" s="83"/>
    </row>
    <row r="39" spans="1:31" ht="60" customHeight="1" thickTop="1" thickBot="1" x14ac:dyDescent="0.3">
      <c r="A39" s="83"/>
      <c r="B39" s="107" t="s">
        <v>716</v>
      </c>
      <c r="C39" s="108"/>
      <c r="D39" s="92" t="s">
        <v>639</v>
      </c>
      <c r="E39" s="109">
        <v>1.62</v>
      </c>
      <c r="F39" s="88">
        <v>58</v>
      </c>
      <c r="G39" s="110">
        <f t="shared" si="4"/>
        <v>93.960000000000008</v>
      </c>
      <c r="H39" s="90"/>
      <c r="I39" s="134"/>
      <c r="J39" s="135"/>
      <c r="K39" s="135"/>
      <c r="L39" s="93"/>
      <c r="M39" s="156" t="s">
        <v>717</v>
      </c>
      <c r="N39" s="95" t="s">
        <v>711</v>
      </c>
      <c r="O39" s="96">
        <v>74</v>
      </c>
      <c r="P39" s="153">
        <v>0.25600000000000001</v>
      </c>
      <c r="Q39" s="98">
        <f t="shared" si="5"/>
        <v>18.943999999999999</v>
      </c>
      <c r="R39" s="83"/>
      <c r="S39" s="83"/>
      <c r="T39" s="83"/>
      <c r="U39" s="99"/>
      <c r="V39" s="100"/>
      <c r="W39" s="99"/>
      <c r="X39" s="101"/>
      <c r="Y39" s="101"/>
      <c r="Z39" s="101"/>
      <c r="AA39" s="99"/>
      <c r="AB39" s="99"/>
      <c r="AC39" s="83"/>
      <c r="AD39" s="83"/>
      <c r="AE39" s="83"/>
    </row>
    <row r="40" spans="1:31" ht="60" customHeight="1" thickTop="1" thickBot="1" x14ac:dyDescent="0.3">
      <c r="A40" s="83"/>
      <c r="B40" s="107" t="s">
        <v>718</v>
      </c>
      <c r="C40" s="108"/>
      <c r="D40" s="92" t="s">
        <v>719</v>
      </c>
      <c r="E40" s="109">
        <v>25.5</v>
      </c>
      <c r="F40" s="88"/>
      <c r="G40" s="110">
        <f t="shared" si="4"/>
        <v>0</v>
      </c>
      <c r="H40" s="90"/>
      <c r="I40" s="134"/>
      <c r="J40" s="135"/>
      <c r="K40" s="135"/>
      <c r="L40" s="93"/>
      <c r="M40" s="156" t="s">
        <v>720</v>
      </c>
      <c r="N40" s="95" t="s">
        <v>711</v>
      </c>
      <c r="O40" s="96">
        <v>77</v>
      </c>
      <c r="P40" s="153">
        <v>0.25</v>
      </c>
      <c r="Q40" s="98">
        <f t="shared" si="5"/>
        <v>19.25</v>
      </c>
      <c r="R40" s="83"/>
      <c r="S40" s="83"/>
      <c r="T40" s="83"/>
      <c r="U40" s="99"/>
      <c r="V40" s="100"/>
      <c r="W40" s="99"/>
      <c r="X40" s="101"/>
      <c r="Y40" s="101"/>
      <c r="Z40" s="101"/>
      <c r="AA40" s="99"/>
      <c r="AB40" s="99"/>
      <c r="AC40" s="83"/>
      <c r="AD40" s="83"/>
      <c r="AE40" s="83"/>
    </row>
    <row r="41" spans="1:31" ht="60" customHeight="1" thickTop="1" thickBot="1" x14ac:dyDescent="0.3">
      <c r="A41" s="83"/>
      <c r="B41" s="157" t="s">
        <v>721</v>
      </c>
      <c r="C41" s="158"/>
      <c r="D41" s="159" t="s">
        <v>661</v>
      </c>
      <c r="E41" s="160">
        <v>4.67</v>
      </c>
      <c r="F41" s="88">
        <v>9</v>
      </c>
      <c r="G41" s="161">
        <f t="shared" si="4"/>
        <v>42.03</v>
      </c>
      <c r="H41" s="90"/>
      <c r="I41" s="134"/>
      <c r="J41" s="135"/>
      <c r="K41" s="135"/>
      <c r="L41" s="93"/>
      <c r="M41" s="156" t="s">
        <v>722</v>
      </c>
      <c r="N41" s="95" t="s">
        <v>711</v>
      </c>
      <c r="O41" s="96">
        <v>82</v>
      </c>
      <c r="P41" s="153">
        <v>0.25</v>
      </c>
      <c r="Q41" s="98">
        <f t="shared" si="5"/>
        <v>20.5</v>
      </c>
      <c r="R41" s="83"/>
      <c r="S41" s="83"/>
      <c r="T41" s="83"/>
      <c r="U41" s="99"/>
      <c r="V41" s="100"/>
      <c r="W41" s="99"/>
      <c r="X41" s="101"/>
      <c r="Y41" s="101"/>
      <c r="Z41" s="101"/>
      <c r="AA41" s="99"/>
      <c r="AB41" s="99"/>
      <c r="AC41" s="83"/>
      <c r="AD41" s="83"/>
      <c r="AE41" s="83"/>
    </row>
    <row r="42" spans="1:31" ht="60" customHeight="1" thickTop="1" thickBot="1" x14ac:dyDescent="0.3">
      <c r="A42" s="83"/>
      <c r="B42" s="107" t="s">
        <v>723</v>
      </c>
      <c r="C42" s="108"/>
      <c r="D42" s="92" t="s">
        <v>724</v>
      </c>
      <c r="E42" s="109">
        <v>11.7</v>
      </c>
      <c r="F42" s="88">
        <v>1.8</v>
      </c>
      <c r="G42" s="110">
        <f t="shared" si="4"/>
        <v>21.06</v>
      </c>
      <c r="H42" s="134"/>
      <c r="I42" s="134"/>
      <c r="J42" s="135"/>
      <c r="K42" s="135"/>
      <c r="L42" s="93"/>
      <c r="M42" s="156" t="s">
        <v>725</v>
      </c>
      <c r="N42" s="95" t="s">
        <v>711</v>
      </c>
      <c r="O42" s="96">
        <v>42</v>
      </c>
      <c r="P42" s="153">
        <v>0.5</v>
      </c>
      <c r="Q42" s="98">
        <f t="shared" si="5"/>
        <v>21</v>
      </c>
      <c r="R42" s="83"/>
      <c r="S42" s="83"/>
      <c r="T42" s="83"/>
      <c r="U42" s="99"/>
      <c r="V42" s="100"/>
      <c r="W42" s="99"/>
      <c r="X42" s="101"/>
      <c r="Y42" s="101"/>
      <c r="Z42" s="101"/>
      <c r="AA42" s="99"/>
      <c r="AB42" s="99"/>
      <c r="AC42" s="83"/>
      <c r="AD42" s="83"/>
      <c r="AE42" s="83"/>
    </row>
    <row r="43" spans="1:31" ht="60" customHeight="1" thickTop="1" thickBot="1" x14ac:dyDescent="0.3">
      <c r="A43" s="83"/>
      <c r="B43" s="157" t="s">
        <v>726</v>
      </c>
      <c r="C43" s="158"/>
      <c r="D43" s="159" t="s">
        <v>724</v>
      </c>
      <c r="E43" s="162">
        <v>9.06</v>
      </c>
      <c r="F43" s="163">
        <v>0.8</v>
      </c>
      <c r="G43" s="161">
        <f t="shared" si="4"/>
        <v>7.2480000000000011</v>
      </c>
      <c r="H43" s="134"/>
      <c r="I43" s="134"/>
      <c r="J43" s="135"/>
      <c r="K43" s="135"/>
      <c r="L43" s="93"/>
      <c r="M43" s="156" t="s">
        <v>727</v>
      </c>
      <c r="N43" s="95" t="s">
        <v>711</v>
      </c>
      <c r="O43" s="96">
        <v>170</v>
      </c>
      <c r="P43" s="153">
        <v>0</v>
      </c>
      <c r="Q43" s="98">
        <f t="shared" si="5"/>
        <v>0</v>
      </c>
      <c r="R43" s="83"/>
      <c r="S43" s="83"/>
      <c r="T43" s="83"/>
      <c r="U43" s="99"/>
      <c r="V43" s="100"/>
      <c r="W43" s="99"/>
      <c r="X43" s="101"/>
      <c r="Y43" s="101"/>
      <c r="Z43" s="101"/>
      <c r="AA43" s="99"/>
      <c r="AB43" s="99"/>
      <c r="AC43" s="83"/>
      <c r="AD43" s="83"/>
      <c r="AE43" s="83"/>
    </row>
    <row r="44" spans="1:31" ht="60" customHeight="1" thickTop="1" thickBot="1" x14ac:dyDescent="0.3">
      <c r="A44" s="83"/>
      <c r="B44" s="164" t="s">
        <v>728</v>
      </c>
      <c r="C44" s="164"/>
      <c r="D44" s="165" t="s">
        <v>724</v>
      </c>
      <c r="E44" s="166">
        <v>7.53</v>
      </c>
      <c r="F44" s="167">
        <v>2.1</v>
      </c>
      <c r="G44" s="168">
        <f t="shared" si="4"/>
        <v>15.813000000000001</v>
      </c>
      <c r="H44" s="90"/>
      <c r="I44" s="134"/>
      <c r="J44" s="135"/>
      <c r="K44" s="135"/>
      <c r="L44" s="93"/>
      <c r="M44" s="169" t="s">
        <v>729</v>
      </c>
      <c r="N44" s="140" t="s">
        <v>711</v>
      </c>
      <c r="O44" s="141">
        <v>140</v>
      </c>
      <c r="P44" s="153"/>
      <c r="Q44" s="137">
        <f t="shared" si="5"/>
        <v>0</v>
      </c>
      <c r="R44" s="83"/>
      <c r="S44" s="83"/>
      <c r="T44" s="83"/>
      <c r="U44" s="83"/>
      <c r="V44" s="83"/>
      <c r="W44" s="83"/>
      <c r="X44" s="83"/>
      <c r="Y44" s="83"/>
      <c r="Z44" s="83"/>
      <c r="AA44" s="83"/>
      <c r="AB44" s="83"/>
      <c r="AC44" s="83"/>
      <c r="AD44" s="83"/>
      <c r="AE44" s="83"/>
    </row>
    <row r="45" spans="1:31" ht="60" customHeight="1" thickTop="1" thickBot="1" x14ac:dyDescent="0.3">
      <c r="A45" s="83"/>
      <c r="B45" s="164" t="s">
        <v>730</v>
      </c>
      <c r="C45" s="164"/>
      <c r="D45" s="165" t="s">
        <v>724</v>
      </c>
      <c r="E45" s="166"/>
      <c r="F45" s="167">
        <v>0</v>
      </c>
      <c r="G45" s="168"/>
      <c r="H45" s="90"/>
      <c r="I45" s="134"/>
      <c r="J45" s="135"/>
      <c r="K45" s="135"/>
      <c r="L45" s="93"/>
      <c r="M45" s="170" t="s">
        <v>731</v>
      </c>
      <c r="N45" s="150"/>
      <c r="O45" s="150"/>
      <c r="P45" s="150"/>
      <c r="Q45" s="151"/>
      <c r="R45" s="101"/>
      <c r="S45" s="83"/>
      <c r="T45" s="83"/>
      <c r="U45" s="83"/>
      <c r="V45" s="83"/>
      <c r="W45" s="83"/>
      <c r="X45" s="83"/>
      <c r="Y45" s="83"/>
      <c r="Z45" s="83"/>
      <c r="AA45" s="83"/>
      <c r="AB45" s="83"/>
      <c r="AC45" s="83"/>
      <c r="AD45" s="83"/>
      <c r="AE45" s="83"/>
    </row>
    <row r="46" spans="1:31" ht="60" customHeight="1" thickTop="1" thickBot="1" x14ac:dyDescent="0.3">
      <c r="A46" s="83"/>
      <c r="B46" s="164" t="s">
        <v>732</v>
      </c>
      <c r="C46" s="164"/>
      <c r="D46" s="165" t="s">
        <v>724</v>
      </c>
      <c r="E46" s="166">
        <v>10.7</v>
      </c>
      <c r="F46" s="167">
        <v>1</v>
      </c>
      <c r="G46" s="168">
        <f>E46*F46</f>
        <v>10.7</v>
      </c>
      <c r="H46" s="134"/>
      <c r="I46" s="91">
        <v>27.9</v>
      </c>
      <c r="J46" s="171"/>
      <c r="K46" s="92">
        <v>9</v>
      </c>
      <c r="L46" s="93"/>
      <c r="M46" s="94" t="s">
        <v>733</v>
      </c>
      <c r="N46" s="95" t="s">
        <v>734</v>
      </c>
      <c r="O46" s="172">
        <v>23.33</v>
      </c>
      <c r="P46" s="173">
        <v>2.2999999999999998</v>
      </c>
      <c r="Q46" s="98">
        <f t="shared" si="5"/>
        <v>53.658999999999992</v>
      </c>
      <c r="R46" s="101"/>
      <c r="S46" s="83"/>
      <c r="T46" s="83"/>
      <c r="U46" s="83"/>
      <c r="V46" s="83"/>
      <c r="W46" s="83"/>
      <c r="X46" s="83"/>
      <c r="Y46" s="83"/>
      <c r="Z46" s="83"/>
      <c r="AA46" s="83"/>
      <c r="AB46" s="83"/>
      <c r="AC46" s="83"/>
      <c r="AD46" s="83"/>
      <c r="AE46" s="83"/>
    </row>
    <row r="47" spans="1:31" ht="60" customHeight="1" thickTop="1" thickBot="1" x14ac:dyDescent="0.3">
      <c r="A47" s="83"/>
      <c r="B47" s="164" t="s">
        <v>735</v>
      </c>
      <c r="C47" s="164"/>
      <c r="D47" s="165" t="s">
        <v>724</v>
      </c>
      <c r="E47" s="166">
        <v>10.7</v>
      </c>
      <c r="F47" s="167">
        <v>0.9</v>
      </c>
      <c r="G47" s="168">
        <f>E47*F47</f>
        <v>9.629999999999999</v>
      </c>
      <c r="H47" s="134"/>
      <c r="I47" s="91"/>
      <c r="J47" s="171"/>
      <c r="K47" s="92"/>
      <c r="L47" s="93"/>
      <c r="M47" s="94"/>
      <c r="N47" s="95"/>
      <c r="O47" s="172"/>
      <c r="P47" s="173"/>
      <c r="Q47" s="98"/>
      <c r="R47" s="101"/>
      <c r="S47" s="83"/>
      <c r="T47" s="83"/>
      <c r="U47" s="83"/>
      <c r="V47" s="83"/>
      <c r="W47" s="83"/>
      <c r="X47" s="83"/>
      <c r="Y47" s="83"/>
      <c r="Z47" s="83"/>
      <c r="AA47" s="83"/>
      <c r="AB47" s="83"/>
      <c r="AC47" s="83"/>
      <c r="AD47" s="83"/>
      <c r="AE47" s="83"/>
    </row>
    <row r="48" spans="1:31" ht="60" customHeight="1" thickTop="1" thickBot="1" x14ac:dyDescent="0.3">
      <c r="A48" s="83"/>
      <c r="B48" s="164" t="s">
        <v>736</v>
      </c>
      <c r="C48" s="164"/>
      <c r="D48" s="165" t="s">
        <v>724</v>
      </c>
      <c r="E48" s="166">
        <v>10.7</v>
      </c>
      <c r="F48" s="167">
        <v>2</v>
      </c>
      <c r="G48" s="168">
        <f>E48*F48</f>
        <v>21.4</v>
      </c>
      <c r="H48" s="134"/>
      <c r="I48" s="91"/>
      <c r="J48" s="171"/>
      <c r="K48" s="92"/>
      <c r="L48" s="93"/>
      <c r="M48" s="94"/>
      <c r="N48" s="95"/>
      <c r="O48" s="172"/>
      <c r="P48" s="173"/>
      <c r="Q48" s="98"/>
      <c r="R48" s="101"/>
      <c r="S48" s="83"/>
      <c r="T48" s="83"/>
      <c r="U48" s="83"/>
      <c r="V48" s="83"/>
      <c r="W48" s="83"/>
      <c r="X48" s="83"/>
      <c r="Y48" s="83"/>
      <c r="Z48" s="83"/>
      <c r="AA48" s="83"/>
      <c r="AB48" s="83"/>
      <c r="AC48" s="83"/>
      <c r="AD48" s="83"/>
      <c r="AE48" s="83"/>
    </row>
    <row r="49" spans="1:31" ht="60" customHeight="1" thickTop="1" thickBot="1" x14ac:dyDescent="0.3">
      <c r="A49" s="83"/>
      <c r="B49" s="174" t="s">
        <v>737</v>
      </c>
      <c r="C49" s="59"/>
      <c r="D49" s="59"/>
      <c r="E49" s="59"/>
      <c r="F49" s="48"/>
      <c r="G49" s="175"/>
      <c r="H49" s="134"/>
      <c r="I49" s="91"/>
      <c r="J49" s="171"/>
      <c r="K49" s="92"/>
      <c r="L49" s="93"/>
      <c r="M49" s="94" t="s">
        <v>738</v>
      </c>
      <c r="N49" s="95" t="s">
        <v>739</v>
      </c>
      <c r="O49" s="172">
        <v>44.96</v>
      </c>
      <c r="P49" s="173">
        <v>1.5</v>
      </c>
      <c r="Q49" s="98">
        <f t="shared" ref="Q49:Q52" si="6">O49*P49</f>
        <v>67.44</v>
      </c>
      <c r="R49" s="101"/>
      <c r="S49" s="83"/>
      <c r="T49" s="83"/>
      <c r="U49" s="83"/>
      <c r="V49" s="83"/>
      <c r="W49" s="83"/>
      <c r="X49" s="83"/>
      <c r="Y49" s="83"/>
      <c r="Z49" s="83"/>
      <c r="AA49" s="83"/>
      <c r="AB49" s="83"/>
      <c r="AC49" s="83"/>
      <c r="AD49" s="83"/>
      <c r="AE49" s="83"/>
    </row>
    <row r="50" spans="1:31" ht="60" customHeight="1" thickTop="1" thickBot="1" x14ac:dyDescent="0.3">
      <c r="A50" s="83"/>
      <c r="B50" s="84" t="s">
        <v>740</v>
      </c>
      <c r="C50" s="85"/>
      <c r="D50" s="86" t="s">
        <v>741</v>
      </c>
      <c r="E50" s="87">
        <v>3.65</v>
      </c>
      <c r="F50" s="67">
        <v>13</v>
      </c>
      <c r="G50" s="89">
        <f t="shared" ref="G50:G60" si="7">E50*F50</f>
        <v>47.449999999999996</v>
      </c>
      <c r="H50" s="134"/>
      <c r="I50" s="91">
        <v>22.5</v>
      </c>
      <c r="J50" s="171"/>
      <c r="K50" s="92">
        <v>6</v>
      </c>
      <c r="L50" s="93"/>
      <c r="M50" s="111" t="s">
        <v>742</v>
      </c>
      <c r="N50" s="136" t="s">
        <v>699</v>
      </c>
      <c r="O50" s="176">
        <v>2.23</v>
      </c>
      <c r="P50" s="173">
        <v>2</v>
      </c>
      <c r="Q50" s="114">
        <f t="shared" si="6"/>
        <v>4.46</v>
      </c>
      <c r="R50" s="101"/>
      <c r="S50" s="83"/>
      <c r="T50" s="83"/>
      <c r="U50" s="83"/>
      <c r="V50" s="83"/>
      <c r="W50" s="83"/>
      <c r="X50" s="83"/>
      <c r="Y50" s="83"/>
      <c r="Z50" s="83"/>
      <c r="AA50" s="83"/>
      <c r="AB50" s="83"/>
      <c r="AC50" s="83"/>
      <c r="AD50" s="83"/>
      <c r="AE50" s="83"/>
    </row>
    <row r="51" spans="1:31" ht="60" customHeight="1" thickTop="1" thickBot="1" x14ac:dyDescent="0.3">
      <c r="A51" s="83"/>
      <c r="B51" s="102" t="s">
        <v>743</v>
      </c>
      <c r="C51" s="103"/>
      <c r="D51" s="86" t="s">
        <v>741</v>
      </c>
      <c r="E51" s="105">
        <v>3.6</v>
      </c>
      <c r="F51" s="67">
        <v>0</v>
      </c>
      <c r="G51" s="89">
        <f t="shared" si="7"/>
        <v>0</v>
      </c>
      <c r="H51" s="134"/>
      <c r="I51" s="91">
        <v>31.2</v>
      </c>
      <c r="J51" s="171"/>
      <c r="K51" s="92">
        <v>8</v>
      </c>
      <c r="L51" s="93"/>
      <c r="M51" s="111" t="s">
        <v>744</v>
      </c>
      <c r="N51" s="136" t="s">
        <v>611</v>
      </c>
      <c r="O51" s="176">
        <v>23.3</v>
      </c>
      <c r="P51" s="177"/>
      <c r="Q51" s="114">
        <f t="shared" si="6"/>
        <v>0</v>
      </c>
      <c r="R51" s="101"/>
      <c r="S51" s="83"/>
      <c r="T51" s="83"/>
      <c r="U51" s="83"/>
      <c r="V51" s="83"/>
      <c r="W51" s="83"/>
      <c r="X51" s="83"/>
      <c r="Y51" s="83"/>
      <c r="Z51" s="83"/>
      <c r="AA51" s="83"/>
      <c r="AB51" s="83"/>
      <c r="AC51" s="83"/>
      <c r="AD51" s="83"/>
      <c r="AE51" s="83"/>
    </row>
    <row r="52" spans="1:31" ht="60" customHeight="1" thickTop="1" thickBot="1" x14ac:dyDescent="0.3">
      <c r="A52" s="83"/>
      <c r="B52" s="102" t="s">
        <v>745</v>
      </c>
      <c r="C52" s="103"/>
      <c r="D52" s="104" t="s">
        <v>746</v>
      </c>
      <c r="E52" s="105">
        <v>3.25</v>
      </c>
      <c r="F52" s="67">
        <v>6</v>
      </c>
      <c r="G52" s="106">
        <f t="shared" si="7"/>
        <v>19.5</v>
      </c>
      <c r="H52" s="134"/>
      <c r="I52" s="91">
        <v>21</v>
      </c>
      <c r="J52" s="171"/>
      <c r="K52" s="92">
        <v>6</v>
      </c>
      <c r="L52" s="93"/>
      <c r="M52" s="178" t="s">
        <v>747</v>
      </c>
      <c r="N52" s="179" t="s">
        <v>748</v>
      </c>
      <c r="O52" s="180">
        <v>14.5</v>
      </c>
      <c r="P52" s="181">
        <v>2</v>
      </c>
      <c r="Q52" s="114">
        <f t="shared" si="6"/>
        <v>29</v>
      </c>
      <c r="R52" s="101"/>
      <c r="S52" s="83"/>
      <c r="T52" s="83"/>
      <c r="U52" s="83"/>
      <c r="V52" s="83"/>
      <c r="W52" s="83"/>
      <c r="X52" s="83"/>
      <c r="Y52" s="83"/>
      <c r="Z52" s="83"/>
      <c r="AA52" s="83"/>
      <c r="AB52" s="83"/>
      <c r="AC52" s="83"/>
      <c r="AD52" s="83"/>
      <c r="AE52" s="83"/>
    </row>
    <row r="53" spans="1:31" ht="60" customHeight="1" thickTop="1" thickBot="1" x14ac:dyDescent="0.3">
      <c r="A53" s="83"/>
      <c r="B53" s="107" t="s">
        <v>749</v>
      </c>
      <c r="C53" s="108"/>
      <c r="D53" s="92" t="s">
        <v>746</v>
      </c>
      <c r="E53" s="105">
        <v>3.5</v>
      </c>
      <c r="F53" s="67">
        <v>17</v>
      </c>
      <c r="G53" s="110">
        <f t="shared" si="7"/>
        <v>59.5</v>
      </c>
      <c r="H53" s="134"/>
      <c r="I53" s="91">
        <v>40</v>
      </c>
      <c r="J53" s="171"/>
      <c r="K53" s="92">
        <v>12</v>
      </c>
      <c r="L53" s="93"/>
      <c r="M53" s="93"/>
      <c r="N53" s="93"/>
      <c r="O53" s="93" t="s">
        <v>750</v>
      </c>
      <c r="P53" s="93"/>
      <c r="Q53" s="146">
        <f>SUM(Q14:Q52)</f>
        <v>677.18299999999999</v>
      </c>
      <c r="R53" s="101"/>
      <c r="S53" s="83"/>
      <c r="T53" s="83"/>
      <c r="U53" s="83"/>
      <c r="V53" s="83"/>
      <c r="W53" s="83"/>
      <c r="X53" s="83"/>
      <c r="Y53" s="83"/>
      <c r="Z53" s="83"/>
      <c r="AA53" s="83"/>
      <c r="AB53" s="83"/>
      <c r="AC53" s="83"/>
      <c r="AD53" s="83"/>
      <c r="AE53" s="83"/>
    </row>
    <row r="54" spans="1:31" ht="60" customHeight="1" thickTop="1" thickBot="1" x14ac:dyDescent="0.3">
      <c r="A54" s="83"/>
      <c r="B54" s="107" t="s">
        <v>751</v>
      </c>
      <c r="C54" s="108"/>
      <c r="D54" s="92" t="s">
        <v>746</v>
      </c>
      <c r="E54" s="105">
        <v>2.75</v>
      </c>
      <c r="F54" s="67">
        <v>14</v>
      </c>
      <c r="G54" s="110">
        <f t="shared" si="7"/>
        <v>38.5</v>
      </c>
      <c r="H54" s="134"/>
      <c r="I54" s="91">
        <v>27.36</v>
      </c>
      <c r="J54" s="171"/>
      <c r="K54" s="92">
        <v>12</v>
      </c>
      <c r="L54" s="93"/>
      <c r="M54" s="182"/>
      <c r="N54" s="182"/>
      <c r="O54" s="182"/>
      <c r="P54" s="182"/>
      <c r="Q54" s="182"/>
      <c r="R54" s="101"/>
      <c r="S54" s="83"/>
      <c r="T54" s="83"/>
      <c r="U54" s="83"/>
      <c r="V54" s="83"/>
      <c r="W54" s="83"/>
      <c r="X54" s="83"/>
      <c r="Y54" s="83"/>
      <c r="Z54" s="83"/>
      <c r="AA54" s="83"/>
      <c r="AB54" s="83"/>
      <c r="AC54" s="83"/>
      <c r="AD54" s="83"/>
      <c r="AE54" s="83"/>
    </row>
    <row r="55" spans="1:31" ht="60" customHeight="1" thickTop="1" thickBot="1" x14ac:dyDescent="0.3">
      <c r="A55" s="83"/>
      <c r="B55" s="107" t="s">
        <v>752</v>
      </c>
      <c r="C55" s="108"/>
      <c r="D55" s="92" t="s">
        <v>753</v>
      </c>
      <c r="E55" s="105">
        <f>I58/K58</f>
        <v>2.2799999999999998</v>
      </c>
      <c r="F55" s="67">
        <v>58</v>
      </c>
      <c r="G55" s="110">
        <f t="shared" si="7"/>
        <v>132.23999999999998</v>
      </c>
      <c r="H55" s="134"/>
      <c r="I55" s="91">
        <v>40.799999999999997</v>
      </c>
      <c r="J55" s="171">
        <v>1</v>
      </c>
      <c r="K55" s="92">
        <v>24</v>
      </c>
      <c r="L55" s="93"/>
      <c r="M55" s="182"/>
      <c r="N55" s="182"/>
      <c r="O55" s="183" t="s">
        <v>754</v>
      </c>
      <c r="P55" s="184"/>
      <c r="Q55" s="185">
        <f>G61+Q53</f>
        <v>3143.0652500000006</v>
      </c>
      <c r="R55" s="101"/>
      <c r="S55" s="83"/>
      <c r="T55" s="83"/>
      <c r="U55" s="83"/>
      <c r="V55" s="83"/>
      <c r="W55" s="83"/>
      <c r="X55" s="83"/>
      <c r="Y55" s="83"/>
      <c r="Z55" s="83"/>
      <c r="AA55" s="83"/>
      <c r="AB55" s="83"/>
      <c r="AC55" s="83"/>
      <c r="AD55" s="83"/>
      <c r="AE55" s="83"/>
    </row>
    <row r="56" spans="1:31" ht="60" customHeight="1" thickTop="1" thickBot="1" x14ac:dyDescent="0.3">
      <c r="A56" s="83"/>
      <c r="B56" s="107" t="s">
        <v>755</v>
      </c>
      <c r="C56" s="108"/>
      <c r="D56" s="92" t="s">
        <v>753</v>
      </c>
      <c r="E56" s="105">
        <f>I59/K59</f>
        <v>1.9400000000000002</v>
      </c>
      <c r="F56" s="67">
        <v>60</v>
      </c>
      <c r="G56" s="110">
        <f t="shared" si="7"/>
        <v>116.4</v>
      </c>
      <c r="H56" s="134"/>
      <c r="I56" s="186">
        <v>30.99</v>
      </c>
      <c r="J56" s="187"/>
      <c r="K56" s="159">
        <v>12</v>
      </c>
      <c r="L56" s="93"/>
      <c r="M56" s="182"/>
      <c r="N56" s="182"/>
      <c r="O56" s="182"/>
      <c r="P56" s="182"/>
      <c r="Q56" s="182"/>
      <c r="R56" s="101"/>
      <c r="S56" s="83"/>
      <c r="T56" s="83"/>
      <c r="U56" s="83"/>
      <c r="V56" s="83"/>
      <c r="W56" s="83"/>
      <c r="X56" s="83"/>
      <c r="Y56" s="83"/>
      <c r="Z56" s="83"/>
      <c r="AA56" s="83"/>
      <c r="AB56" s="83"/>
      <c r="AC56" s="83"/>
      <c r="AD56" s="83"/>
      <c r="AE56" s="83"/>
    </row>
    <row r="57" spans="1:31" ht="60" customHeight="1" thickTop="1" thickBot="1" x14ac:dyDescent="0.3">
      <c r="A57" s="83"/>
      <c r="B57" s="107" t="s">
        <v>756</v>
      </c>
      <c r="C57" s="108"/>
      <c r="D57" s="92" t="s">
        <v>753</v>
      </c>
      <c r="E57" s="105">
        <f>I59/K59</f>
        <v>1.9400000000000002</v>
      </c>
      <c r="F57" s="67">
        <v>68</v>
      </c>
      <c r="G57" s="110">
        <f t="shared" si="7"/>
        <v>131.92000000000002</v>
      </c>
      <c r="H57" s="134"/>
      <c r="I57" s="91">
        <v>42</v>
      </c>
      <c r="J57" s="92"/>
      <c r="K57" s="92">
        <v>24</v>
      </c>
      <c r="L57" s="93"/>
      <c r="M57" s="182"/>
      <c r="N57" s="182"/>
      <c r="O57" s="182"/>
      <c r="P57" s="182"/>
      <c r="Q57" s="182"/>
      <c r="R57" s="101"/>
      <c r="S57" s="83"/>
      <c r="T57" s="83"/>
      <c r="U57" s="83"/>
      <c r="V57" s="83"/>
      <c r="W57" s="83"/>
      <c r="X57" s="83"/>
      <c r="Y57" s="83"/>
      <c r="Z57" s="83"/>
      <c r="AA57" s="83"/>
      <c r="AB57" s="83"/>
      <c r="AC57" s="83"/>
      <c r="AD57" s="83"/>
      <c r="AE57" s="83"/>
    </row>
    <row r="58" spans="1:31" ht="60" customHeight="1" thickTop="1" thickBot="1" x14ac:dyDescent="0.3">
      <c r="A58" s="83"/>
      <c r="B58" s="107" t="s">
        <v>757</v>
      </c>
      <c r="C58" s="108"/>
      <c r="D58" s="92" t="s">
        <v>753</v>
      </c>
      <c r="E58" s="105">
        <f>I56/K56</f>
        <v>2.5825</v>
      </c>
      <c r="F58" s="188">
        <v>43</v>
      </c>
      <c r="G58" s="110">
        <f t="shared" si="7"/>
        <v>111.0475</v>
      </c>
      <c r="H58" s="90"/>
      <c r="I58" s="91">
        <v>27.36</v>
      </c>
      <c r="J58" s="92"/>
      <c r="K58" s="92">
        <v>12</v>
      </c>
      <c r="L58" s="93"/>
      <c r="M58" s="182"/>
      <c r="N58" s="182"/>
      <c r="O58" s="182"/>
      <c r="P58" s="182"/>
      <c r="Q58" s="182"/>
      <c r="R58" s="101"/>
      <c r="S58" s="83"/>
      <c r="T58" s="83"/>
      <c r="U58" s="83"/>
      <c r="V58" s="83"/>
      <c r="W58" s="83"/>
      <c r="X58" s="83"/>
      <c r="Y58" s="83"/>
      <c r="Z58" s="83"/>
      <c r="AA58" s="83"/>
      <c r="AB58" s="83"/>
      <c r="AC58" s="83"/>
      <c r="AD58" s="83"/>
      <c r="AE58" s="83"/>
    </row>
    <row r="59" spans="1:31" ht="60" customHeight="1" thickTop="1" thickBot="1" x14ac:dyDescent="0.3">
      <c r="A59" s="182"/>
      <c r="B59" s="107" t="s">
        <v>758</v>
      </c>
      <c r="C59" s="108"/>
      <c r="D59" s="92" t="s">
        <v>753</v>
      </c>
      <c r="E59" s="105">
        <f>I60/K60</f>
        <v>2.9583333333333335</v>
      </c>
      <c r="F59" s="188">
        <v>33</v>
      </c>
      <c r="G59" s="110">
        <f t="shared" si="7"/>
        <v>97.625</v>
      </c>
      <c r="H59" s="83"/>
      <c r="I59" s="91">
        <v>46.56</v>
      </c>
      <c r="J59" s="92"/>
      <c r="K59" s="92">
        <v>24</v>
      </c>
      <c r="L59" s="93"/>
      <c r="M59" s="182"/>
      <c r="N59" s="182"/>
      <c r="O59" s="182"/>
      <c r="P59" s="182"/>
      <c r="Q59" s="182"/>
      <c r="R59" s="101"/>
      <c r="S59" s="83"/>
      <c r="T59" s="83"/>
      <c r="U59" s="83"/>
      <c r="V59" s="83"/>
      <c r="W59" s="83"/>
      <c r="X59" s="83"/>
      <c r="Y59" s="100"/>
      <c r="Z59" s="100"/>
      <c r="AA59" s="83"/>
      <c r="AB59" s="83"/>
      <c r="AC59" s="182"/>
      <c r="AD59" s="182"/>
      <c r="AE59" s="182"/>
    </row>
    <row r="60" spans="1:31" ht="60" customHeight="1" thickTop="1" thickBot="1" x14ac:dyDescent="0.3">
      <c r="A60" s="182"/>
      <c r="B60" s="189"/>
      <c r="C60" s="190"/>
      <c r="D60" s="191"/>
      <c r="E60" s="192"/>
      <c r="F60" s="188"/>
      <c r="G60" s="193">
        <f t="shared" si="7"/>
        <v>0</v>
      </c>
      <c r="H60" s="83"/>
      <c r="I60" s="91">
        <v>35.5</v>
      </c>
      <c r="J60" s="92"/>
      <c r="K60" s="92">
        <v>12</v>
      </c>
      <c r="L60" s="93"/>
      <c r="M60" s="182"/>
      <c r="N60" s="182"/>
      <c r="O60" s="182"/>
      <c r="P60" s="182"/>
      <c r="Q60" s="182"/>
      <c r="R60" s="101"/>
      <c r="S60" s="83"/>
      <c r="T60" s="83"/>
      <c r="U60" s="83"/>
      <c r="V60" s="83"/>
      <c r="W60" s="83"/>
      <c r="X60" s="83"/>
      <c r="Y60" s="100"/>
      <c r="Z60" s="100"/>
      <c r="AA60" s="83"/>
      <c r="AB60" s="83"/>
      <c r="AC60" s="182"/>
      <c r="AD60" s="182"/>
      <c r="AE60" s="182"/>
    </row>
    <row r="61" spans="1:31" ht="60" customHeight="1" thickTop="1" x14ac:dyDescent="0.25">
      <c r="A61" s="182"/>
      <c r="B61" s="182"/>
      <c r="C61" s="182"/>
      <c r="D61" s="194"/>
      <c r="E61" s="195"/>
      <c r="F61" s="196" t="s">
        <v>750</v>
      </c>
      <c r="G61" s="185">
        <f>SUM(G14:G60)</f>
        <v>2465.8822500000006</v>
      </c>
      <c r="H61" s="182"/>
      <c r="I61" s="197"/>
      <c r="J61" s="194"/>
      <c r="K61" s="194"/>
      <c r="L61" s="93"/>
      <c r="M61" s="182"/>
      <c r="N61" s="182"/>
      <c r="O61" s="182"/>
      <c r="P61" s="182"/>
      <c r="Q61" s="182"/>
      <c r="R61" s="101"/>
      <c r="S61" s="83"/>
      <c r="T61" s="83"/>
      <c r="U61" s="83"/>
      <c r="V61" s="83"/>
      <c r="W61" s="83"/>
      <c r="X61" s="83"/>
      <c r="Y61" s="100"/>
      <c r="Z61" s="100"/>
      <c r="AA61" s="83"/>
      <c r="AB61" s="83"/>
      <c r="AC61" s="182"/>
      <c r="AD61" s="182"/>
      <c r="AE61" s="182"/>
    </row>
    <row r="62" spans="1:31" ht="53.1" customHeight="1" x14ac:dyDescent="0.25">
      <c r="A62" s="182"/>
      <c r="B62" s="182"/>
      <c r="C62" s="182"/>
      <c r="D62" s="194"/>
      <c r="E62" s="195"/>
      <c r="F62" s="54"/>
      <c r="G62" s="197"/>
      <c r="H62" s="182"/>
      <c r="I62" s="197"/>
      <c r="J62" s="194"/>
      <c r="K62" s="194"/>
      <c r="L62" s="182"/>
      <c r="M62" s="182"/>
      <c r="N62" s="182"/>
      <c r="O62" s="182"/>
      <c r="P62" s="182"/>
      <c r="Q62" s="182"/>
      <c r="R62" s="101"/>
      <c r="S62" s="83"/>
      <c r="T62" s="83"/>
      <c r="U62" s="83"/>
      <c r="V62" s="93"/>
      <c r="W62" s="83"/>
      <c r="X62" s="100"/>
      <c r="Y62" s="182"/>
      <c r="Z62" s="182"/>
      <c r="AA62" s="182"/>
      <c r="AB62" s="182"/>
      <c r="AC62" s="182"/>
      <c r="AD62" s="182"/>
      <c r="AE62" s="182"/>
    </row>
    <row r="63" spans="1:31" ht="45" customHeight="1" x14ac:dyDescent="0.25">
      <c r="A63" s="182"/>
      <c r="B63" s="182"/>
      <c r="C63" s="182"/>
      <c r="D63" s="194"/>
      <c r="E63" s="195"/>
      <c r="F63" s="54"/>
      <c r="G63" s="197"/>
      <c r="H63" s="182"/>
      <c r="I63" s="197"/>
      <c r="J63" s="194"/>
      <c r="K63" s="194"/>
      <c r="L63" s="182"/>
      <c r="M63" s="182"/>
      <c r="N63" s="182"/>
      <c r="O63" s="182"/>
      <c r="P63" s="182"/>
      <c r="Q63" s="182"/>
      <c r="R63" s="101"/>
      <c r="S63" s="83"/>
      <c r="T63" s="83"/>
      <c r="U63" s="83"/>
      <c r="V63" s="93"/>
      <c r="W63" s="83"/>
      <c r="X63" s="100"/>
      <c r="Y63" s="182"/>
      <c r="Z63" s="182"/>
      <c r="AA63" s="182"/>
      <c r="AB63" s="182"/>
      <c r="AC63" s="182"/>
      <c r="AD63" s="182"/>
      <c r="AE63" s="182"/>
    </row>
    <row r="64" spans="1:31" ht="45" customHeight="1" x14ac:dyDescent="0.25">
      <c r="A64" s="182"/>
      <c r="B64" s="182"/>
      <c r="C64" s="182"/>
      <c r="D64" s="194"/>
      <c r="E64" s="195"/>
      <c r="F64" s="54"/>
      <c r="G64" s="197"/>
      <c r="H64" s="182"/>
      <c r="I64" s="197"/>
      <c r="J64" s="194"/>
      <c r="K64" s="194"/>
      <c r="L64" s="182"/>
      <c r="M64" s="182"/>
      <c r="N64" s="182"/>
      <c r="O64" s="182"/>
      <c r="P64" s="182"/>
      <c r="Q64" s="182"/>
      <c r="R64" s="182"/>
      <c r="S64" s="83"/>
      <c r="T64" s="83"/>
      <c r="U64" s="83"/>
      <c r="V64" s="93"/>
      <c r="W64" s="83"/>
      <c r="X64" s="100"/>
      <c r="Y64" s="182"/>
      <c r="Z64" s="182"/>
      <c r="AA64" s="182"/>
      <c r="AB64" s="182"/>
      <c r="AC64" s="182"/>
      <c r="AD64" s="182"/>
      <c r="AE64" s="182"/>
    </row>
    <row r="65" spans="1:31" ht="45" customHeight="1" x14ac:dyDescent="0.25">
      <c r="A65" s="182"/>
      <c r="B65" s="182"/>
      <c r="C65" s="182"/>
      <c r="D65" s="194"/>
      <c r="E65" s="195"/>
      <c r="F65" s="54"/>
      <c r="G65" s="197"/>
      <c r="H65" s="182"/>
      <c r="I65" s="197"/>
      <c r="J65" s="194"/>
      <c r="K65" s="194"/>
      <c r="L65" s="182"/>
      <c r="M65" s="182"/>
      <c r="N65" s="182"/>
      <c r="O65" s="182"/>
      <c r="P65" s="182"/>
      <c r="Q65" s="182"/>
      <c r="R65" s="182"/>
      <c r="S65" s="83"/>
      <c r="T65" s="83"/>
      <c r="U65" s="83"/>
      <c r="V65" s="83"/>
      <c r="W65" s="83"/>
      <c r="X65" s="83"/>
      <c r="Y65" s="182"/>
      <c r="Z65" s="182"/>
      <c r="AA65" s="182"/>
      <c r="AB65" s="182"/>
      <c r="AC65" s="182"/>
      <c r="AD65" s="182"/>
      <c r="AE65" s="182"/>
    </row>
    <row r="66" spans="1:31" ht="45" customHeight="1" x14ac:dyDescent="0.25">
      <c r="A66" s="182"/>
      <c r="B66" s="182"/>
      <c r="C66" s="182"/>
      <c r="D66" s="194"/>
      <c r="E66" s="195"/>
      <c r="F66" s="54"/>
      <c r="G66" s="197"/>
      <c r="H66" s="182"/>
      <c r="I66" s="197"/>
      <c r="J66" s="194"/>
      <c r="K66" s="194"/>
      <c r="L66" s="182"/>
      <c r="M66" s="198"/>
      <c r="N66" s="198"/>
      <c r="O66" s="198"/>
      <c r="P66" s="198"/>
      <c r="Q66" s="198"/>
      <c r="R66" s="182"/>
      <c r="S66" s="83"/>
      <c r="T66" s="83"/>
      <c r="U66" s="83"/>
      <c r="V66" s="83"/>
      <c r="W66" s="83"/>
      <c r="X66" s="83"/>
      <c r="Y66" s="182"/>
      <c r="Z66" s="182"/>
      <c r="AA66" s="182"/>
      <c r="AB66" s="182"/>
      <c r="AC66" s="182"/>
      <c r="AD66" s="182"/>
      <c r="AE66" s="182"/>
    </row>
    <row r="67" spans="1:31" ht="45" customHeight="1" x14ac:dyDescent="0.25">
      <c r="A67" s="182"/>
      <c r="B67" s="182"/>
      <c r="C67" s="182"/>
      <c r="D67" s="194"/>
      <c r="E67" s="195"/>
      <c r="F67" s="54"/>
      <c r="G67" s="197"/>
      <c r="H67" s="182"/>
      <c r="I67" s="197"/>
      <c r="J67" s="194"/>
      <c r="K67" s="194"/>
      <c r="L67" s="182"/>
      <c r="M67" s="198"/>
      <c r="N67" s="198"/>
      <c r="O67" s="198"/>
      <c r="P67" s="198"/>
      <c r="Q67" s="198"/>
      <c r="R67" s="182"/>
      <c r="S67" s="83"/>
      <c r="T67" s="83"/>
      <c r="U67" s="83"/>
      <c r="V67" s="93"/>
      <c r="W67" s="83"/>
      <c r="X67" s="100"/>
      <c r="Y67" s="182"/>
      <c r="Z67" s="182"/>
      <c r="AA67" s="182"/>
      <c r="AB67" s="182"/>
      <c r="AC67" s="182"/>
      <c r="AD67" s="182"/>
      <c r="AE67" s="182"/>
    </row>
    <row r="68" spans="1:31" ht="45" customHeight="1" x14ac:dyDescent="0.25">
      <c r="A68" s="182"/>
      <c r="B68" s="182"/>
      <c r="C68" s="182"/>
      <c r="D68" s="194"/>
      <c r="E68" s="195"/>
      <c r="F68" s="54"/>
      <c r="G68" s="197"/>
      <c r="H68" s="182"/>
      <c r="I68" s="197"/>
      <c r="J68" s="194"/>
      <c r="K68" s="194"/>
      <c r="L68" s="182"/>
      <c r="M68" s="198"/>
      <c r="N68" s="198"/>
      <c r="O68" s="198"/>
      <c r="P68" s="198"/>
      <c r="Q68" s="198"/>
      <c r="R68" s="182"/>
      <c r="S68" s="182"/>
      <c r="T68" s="182"/>
      <c r="U68" s="182"/>
      <c r="V68" s="182"/>
      <c r="W68" s="182"/>
      <c r="X68" s="182"/>
      <c r="Y68" s="182"/>
      <c r="Z68" s="182"/>
      <c r="AA68" s="182"/>
      <c r="AB68" s="182"/>
      <c r="AC68" s="182"/>
      <c r="AD68" s="182"/>
      <c r="AE68" s="182"/>
    </row>
    <row r="69" spans="1:31" ht="45" customHeight="1" x14ac:dyDescent="0.25">
      <c r="A69" s="182"/>
      <c r="B69" s="182"/>
      <c r="C69" s="182"/>
      <c r="D69" s="194"/>
      <c r="E69" s="195"/>
      <c r="F69" s="54"/>
      <c r="G69" s="197"/>
      <c r="H69" s="182"/>
      <c r="I69" s="197"/>
      <c r="J69" s="194"/>
      <c r="K69" s="194"/>
      <c r="L69" s="182"/>
      <c r="M69" s="198"/>
      <c r="N69" s="198"/>
      <c r="O69" s="198"/>
      <c r="P69" s="198"/>
      <c r="Q69" s="198"/>
      <c r="R69" s="182"/>
      <c r="S69" s="182"/>
      <c r="T69" s="182"/>
      <c r="U69" s="182"/>
      <c r="V69" s="182"/>
      <c r="W69" s="182"/>
      <c r="X69" s="182"/>
      <c r="Y69" s="182"/>
      <c r="Z69" s="182"/>
      <c r="AA69" s="182"/>
      <c r="AB69" s="182"/>
      <c r="AC69" s="182"/>
      <c r="AD69" s="182"/>
      <c r="AE69" s="182"/>
    </row>
    <row r="70" spans="1:31" ht="45" customHeight="1" x14ac:dyDescent="0.25">
      <c r="A70" s="182"/>
      <c r="B70" s="182"/>
      <c r="C70" s="182"/>
      <c r="D70" s="194"/>
      <c r="E70" s="195"/>
      <c r="F70" s="54"/>
      <c r="G70" s="197"/>
      <c r="H70" s="182"/>
      <c r="I70" s="197"/>
      <c r="J70" s="194"/>
      <c r="K70" s="194"/>
      <c r="L70" s="182"/>
      <c r="M70" s="198"/>
      <c r="N70" s="198"/>
      <c r="O70" s="198"/>
      <c r="P70" s="198"/>
      <c r="Q70" s="198"/>
      <c r="R70" s="182"/>
      <c r="S70" s="182"/>
      <c r="T70" s="182"/>
      <c r="U70" s="182"/>
      <c r="V70" s="182"/>
      <c r="W70" s="182"/>
      <c r="X70" s="182"/>
      <c r="Y70" s="182"/>
      <c r="Z70" s="182"/>
      <c r="AA70" s="182"/>
      <c r="AB70" s="182"/>
      <c r="AC70" s="182"/>
      <c r="AD70" s="182"/>
      <c r="AE70" s="182"/>
    </row>
    <row r="71" spans="1:31" ht="45" customHeight="1" x14ac:dyDescent="0.25">
      <c r="A71" s="182"/>
      <c r="B71" s="182"/>
      <c r="C71" s="182"/>
      <c r="D71" s="194"/>
      <c r="E71" s="195"/>
      <c r="F71" s="54"/>
      <c r="G71" s="197"/>
      <c r="H71" s="182"/>
      <c r="I71" s="197"/>
      <c r="J71" s="194"/>
      <c r="K71" s="194"/>
      <c r="L71" s="182"/>
      <c r="M71" s="198"/>
      <c r="N71" s="198"/>
      <c r="O71" s="198"/>
      <c r="P71" s="198"/>
      <c r="Q71" s="198"/>
      <c r="R71" s="182"/>
      <c r="S71" s="182"/>
      <c r="T71" s="182"/>
      <c r="U71" s="182"/>
      <c r="V71" s="182"/>
      <c r="W71" s="182"/>
      <c r="X71" s="182"/>
      <c r="Y71" s="182"/>
      <c r="Z71" s="182"/>
      <c r="AA71" s="182"/>
      <c r="AB71" s="182"/>
      <c r="AC71" s="182"/>
      <c r="AD71" s="182"/>
      <c r="AE71" s="182"/>
    </row>
    <row r="72" spans="1:31" ht="54" customHeight="1" x14ac:dyDescent="0.25">
      <c r="A72" s="182"/>
      <c r="B72" s="182"/>
      <c r="C72" s="182"/>
      <c r="D72" s="194"/>
      <c r="E72" s="195"/>
      <c r="F72" s="54"/>
      <c r="G72" s="197"/>
      <c r="H72" s="182"/>
      <c r="I72" s="197"/>
      <c r="J72" s="194"/>
      <c r="K72" s="194"/>
      <c r="L72" s="182"/>
      <c r="R72" s="182"/>
      <c r="S72" s="182"/>
      <c r="T72" s="182"/>
      <c r="U72" s="182"/>
      <c r="V72" s="182"/>
      <c r="W72" s="182"/>
      <c r="X72" s="182"/>
      <c r="Y72" s="182"/>
      <c r="Z72" s="182"/>
      <c r="AA72" s="182"/>
      <c r="AB72" s="182"/>
      <c r="AC72" s="182"/>
      <c r="AD72" s="182"/>
      <c r="AE72" s="182"/>
    </row>
    <row r="73" spans="1:31" ht="21.75" customHeight="1" x14ac:dyDescent="0.25">
      <c r="A73" s="182"/>
      <c r="B73" s="182"/>
      <c r="C73" s="182"/>
      <c r="D73" s="194"/>
      <c r="E73" s="195"/>
      <c r="F73" s="54"/>
      <c r="G73" s="197"/>
      <c r="H73" s="182"/>
      <c r="I73" s="197"/>
      <c r="J73" s="194"/>
      <c r="K73" s="194"/>
      <c r="L73" s="182"/>
      <c r="R73" s="182"/>
      <c r="S73" s="182"/>
      <c r="T73" s="182"/>
      <c r="U73" s="182"/>
      <c r="V73" s="182"/>
      <c r="W73" s="182"/>
      <c r="X73" s="182"/>
      <c r="Y73" s="182"/>
      <c r="Z73" s="182"/>
      <c r="AA73" s="182"/>
      <c r="AB73" s="182"/>
      <c r="AC73" s="182"/>
      <c r="AD73" s="182"/>
      <c r="AE73" s="182"/>
    </row>
    <row r="74" spans="1:31" ht="21.75" customHeight="1" x14ac:dyDescent="0.25">
      <c r="A74" s="182"/>
      <c r="B74" s="182"/>
      <c r="C74" s="182"/>
      <c r="D74" s="194"/>
      <c r="E74" s="195"/>
      <c r="F74" s="54"/>
      <c r="G74" s="197"/>
      <c r="H74" s="182"/>
      <c r="I74" s="197"/>
      <c r="J74" s="194"/>
      <c r="K74" s="58"/>
      <c r="L74" s="182"/>
      <c r="R74" s="182"/>
      <c r="S74" s="182"/>
      <c r="T74" s="182"/>
      <c r="U74" s="182"/>
      <c r="V74" s="182"/>
      <c r="W74" s="182"/>
      <c r="X74" s="182"/>
      <c r="Y74" s="182"/>
      <c r="Z74" s="182"/>
      <c r="AA74" s="182"/>
      <c r="AB74" s="182"/>
      <c r="AC74" s="182"/>
      <c r="AD74" s="182"/>
      <c r="AE74" s="182"/>
    </row>
    <row r="75" spans="1:31" ht="21.75" customHeight="1" x14ac:dyDescent="0.25">
      <c r="A75" s="182"/>
      <c r="B75" s="182"/>
      <c r="C75" s="182"/>
      <c r="D75" s="194"/>
      <c r="E75" s="195"/>
      <c r="F75" s="54"/>
      <c r="G75" s="197"/>
      <c r="H75" s="182"/>
      <c r="I75" s="197"/>
      <c r="J75" s="194"/>
      <c r="K75" s="58"/>
      <c r="L75" s="182"/>
      <c r="R75" s="182"/>
      <c r="S75" s="182"/>
      <c r="T75" s="182"/>
      <c r="U75" s="182"/>
      <c r="V75" s="182"/>
      <c r="W75" s="182"/>
      <c r="X75" s="182"/>
      <c r="Y75" s="182"/>
      <c r="Z75" s="182"/>
      <c r="AA75" s="182"/>
      <c r="AB75" s="182"/>
      <c r="AC75" s="182"/>
      <c r="AD75" s="182"/>
      <c r="AE75" s="182"/>
    </row>
    <row r="76" spans="1:31" ht="21.75" customHeight="1" x14ac:dyDescent="0.25">
      <c r="A76" s="182"/>
      <c r="B76" s="182"/>
      <c r="C76" s="182"/>
      <c r="D76" s="194"/>
      <c r="E76" s="195"/>
      <c r="F76" s="54"/>
      <c r="G76" s="197"/>
      <c r="H76" s="182"/>
      <c r="I76" s="197"/>
      <c r="J76" s="194"/>
      <c r="K76" s="58"/>
      <c r="L76" s="182"/>
      <c r="R76" s="182"/>
      <c r="S76" s="182"/>
      <c r="T76" s="182"/>
      <c r="U76" s="182"/>
      <c r="V76" s="182"/>
      <c r="W76" s="182"/>
      <c r="X76" s="182"/>
      <c r="Y76" s="182"/>
      <c r="Z76" s="182"/>
      <c r="AA76" s="182"/>
      <c r="AB76" s="182"/>
      <c r="AC76" s="182"/>
      <c r="AD76" s="182"/>
      <c r="AE76" s="182"/>
    </row>
    <row r="77" spans="1:31" ht="21.75" customHeight="1" x14ac:dyDescent="0.25">
      <c r="A77" s="182"/>
      <c r="B77" s="182"/>
      <c r="C77" s="182"/>
      <c r="D77" s="194"/>
      <c r="E77" s="195"/>
      <c r="F77" s="54"/>
      <c r="G77" s="197"/>
      <c r="H77" s="182"/>
      <c r="I77" s="197"/>
      <c r="J77" s="194"/>
      <c r="K77" s="58"/>
      <c r="L77" s="182"/>
      <c r="R77" s="182"/>
      <c r="S77" s="182"/>
      <c r="T77" s="182"/>
      <c r="U77" s="182"/>
      <c r="V77" s="182"/>
      <c r="W77" s="182"/>
      <c r="X77" s="182"/>
      <c r="Y77" s="182"/>
      <c r="Z77" s="182"/>
      <c r="AA77" s="182"/>
      <c r="AB77" s="182"/>
      <c r="AC77" s="182"/>
      <c r="AD77" s="182"/>
      <c r="AE77" s="182"/>
    </row>
    <row r="78" spans="1:31" ht="21.75" customHeight="1" x14ac:dyDescent="0.25">
      <c r="A78" s="182"/>
      <c r="B78" s="182"/>
      <c r="C78" s="182"/>
      <c r="D78" s="194"/>
      <c r="E78" s="195"/>
      <c r="F78" s="54"/>
      <c r="G78" s="197"/>
      <c r="H78" s="182"/>
      <c r="I78" s="197"/>
      <c r="J78" s="194"/>
      <c r="K78" s="58"/>
      <c r="L78" s="182"/>
      <c r="R78" s="182"/>
      <c r="S78" s="182"/>
      <c r="T78" s="182"/>
      <c r="U78" s="182"/>
      <c r="V78" s="182"/>
      <c r="W78" s="182"/>
      <c r="X78" s="182"/>
      <c r="Y78" s="182"/>
      <c r="Z78" s="182"/>
      <c r="AA78" s="182"/>
      <c r="AB78" s="182"/>
      <c r="AC78" s="182"/>
      <c r="AD78" s="182"/>
      <c r="AE78" s="182"/>
    </row>
    <row r="79" spans="1:31" ht="21.75" customHeight="1" x14ac:dyDescent="0.25">
      <c r="A79" s="182"/>
      <c r="B79" s="182"/>
      <c r="C79" s="182"/>
      <c r="D79" s="194"/>
      <c r="E79" s="195"/>
      <c r="F79" s="54"/>
      <c r="G79" s="197"/>
      <c r="H79" s="182"/>
      <c r="I79" s="197"/>
      <c r="J79" s="194"/>
      <c r="K79" s="58"/>
      <c r="L79" s="182"/>
      <c r="R79" s="182"/>
      <c r="S79" s="182"/>
      <c r="T79" s="182"/>
      <c r="U79" s="182"/>
      <c r="V79" s="182"/>
      <c r="W79" s="182"/>
      <c r="X79" s="182"/>
      <c r="Y79" s="182"/>
      <c r="Z79" s="182"/>
      <c r="AA79" s="182"/>
      <c r="AB79" s="182"/>
      <c r="AC79" s="182"/>
      <c r="AD79" s="182"/>
      <c r="AE79" s="182"/>
    </row>
    <row r="80" spans="1:31" ht="21.75" customHeight="1" x14ac:dyDescent="0.25">
      <c r="A80" s="182"/>
      <c r="B80" s="182"/>
      <c r="C80" s="182"/>
      <c r="D80" s="194"/>
      <c r="E80" s="195"/>
      <c r="F80" s="54"/>
      <c r="G80" s="197"/>
      <c r="H80" s="182"/>
      <c r="I80" s="197"/>
      <c r="J80" s="194"/>
      <c r="K80" s="58"/>
      <c r="L80" s="182"/>
      <c r="R80" s="182"/>
      <c r="S80" s="182"/>
      <c r="T80" s="182"/>
      <c r="U80" s="182"/>
      <c r="V80" s="182"/>
      <c r="W80" s="182"/>
      <c r="X80" s="182"/>
      <c r="Y80" s="182"/>
      <c r="Z80" s="182"/>
      <c r="AA80" s="182"/>
      <c r="AB80" s="182"/>
      <c r="AC80" s="182"/>
      <c r="AD80" s="182"/>
      <c r="AE80" s="182"/>
    </row>
    <row r="81" spans="1:31" ht="21.75" customHeight="1" x14ac:dyDescent="0.25">
      <c r="A81" s="182"/>
      <c r="B81" s="182"/>
      <c r="C81" s="182"/>
      <c r="D81" s="194"/>
      <c r="E81" s="195"/>
      <c r="F81" s="54"/>
      <c r="G81" s="197"/>
      <c r="H81" s="182"/>
      <c r="I81" s="197"/>
      <c r="J81" s="194"/>
      <c r="K81" s="58"/>
      <c r="L81" s="182"/>
      <c r="R81" s="182"/>
      <c r="S81" s="182"/>
      <c r="T81" s="182"/>
      <c r="U81" s="182"/>
      <c r="V81" s="182"/>
      <c r="W81" s="182"/>
      <c r="X81" s="182"/>
      <c r="Y81" s="182"/>
      <c r="Z81" s="182"/>
      <c r="AA81" s="182"/>
      <c r="AB81" s="182"/>
      <c r="AC81" s="182"/>
      <c r="AD81" s="182"/>
      <c r="AE81" s="182"/>
    </row>
    <row r="82" spans="1:31" ht="21.75" customHeight="1" x14ac:dyDescent="0.25">
      <c r="A82" s="182"/>
      <c r="B82" s="182"/>
      <c r="C82" s="182"/>
      <c r="D82" s="194"/>
      <c r="E82" s="195"/>
      <c r="F82" s="54"/>
      <c r="G82" s="197"/>
      <c r="H82" s="182"/>
      <c r="I82" s="197"/>
      <c r="J82" s="194"/>
      <c r="K82" s="58"/>
      <c r="L82" s="182"/>
      <c r="R82" s="182"/>
      <c r="S82" s="182"/>
      <c r="T82" s="182"/>
      <c r="U82" s="182"/>
      <c r="V82" s="182"/>
      <c r="W82" s="182"/>
      <c r="X82" s="182"/>
      <c r="Y82" s="182"/>
      <c r="Z82" s="182"/>
      <c r="AA82" s="182"/>
      <c r="AB82" s="182"/>
      <c r="AC82" s="182"/>
      <c r="AD82" s="182"/>
      <c r="AE82" s="182"/>
    </row>
    <row r="83" spans="1:31" ht="21.75" customHeight="1" x14ac:dyDescent="0.25">
      <c r="A83" s="182"/>
      <c r="B83" s="182"/>
      <c r="C83" s="182"/>
      <c r="D83" s="194"/>
      <c r="E83" s="195"/>
      <c r="F83" s="54"/>
      <c r="G83" s="197"/>
      <c r="H83" s="182"/>
      <c r="I83" s="197"/>
      <c r="J83" s="194"/>
      <c r="K83" s="58"/>
      <c r="L83" s="182"/>
      <c r="R83" s="182"/>
      <c r="S83" s="182"/>
      <c r="T83" s="182"/>
      <c r="U83" s="182"/>
      <c r="V83" s="182"/>
      <c r="W83" s="182"/>
      <c r="X83" s="182"/>
      <c r="Y83" s="182"/>
      <c r="Z83" s="182"/>
      <c r="AA83" s="182"/>
      <c r="AB83" s="182"/>
      <c r="AC83" s="182"/>
      <c r="AD83" s="182"/>
      <c r="AE83" s="182"/>
    </row>
    <row r="84" spans="1:31" ht="21.75" customHeight="1" x14ac:dyDescent="0.25">
      <c r="A84" s="182"/>
      <c r="B84" s="182"/>
      <c r="C84" s="182"/>
      <c r="D84" s="194"/>
      <c r="E84" s="195"/>
      <c r="F84" s="199"/>
      <c r="G84" s="197"/>
      <c r="H84" s="182"/>
      <c r="I84" s="197"/>
      <c r="J84" s="194"/>
      <c r="K84" s="58"/>
      <c r="L84" s="182"/>
      <c r="R84" s="182"/>
      <c r="S84" s="182"/>
      <c r="T84" s="182"/>
      <c r="U84" s="182"/>
      <c r="V84" s="182"/>
      <c r="W84" s="182"/>
      <c r="X84" s="182"/>
      <c r="Y84" s="182"/>
      <c r="Z84" s="182"/>
      <c r="AA84" s="182"/>
      <c r="AB84" s="182"/>
      <c r="AC84" s="182"/>
      <c r="AD84" s="182"/>
      <c r="AE84" s="182"/>
    </row>
    <row r="85" spans="1:31" ht="21.75" customHeight="1" x14ac:dyDescent="0.25">
      <c r="A85" s="182"/>
      <c r="B85" s="182"/>
      <c r="C85" s="182"/>
      <c r="D85" s="194"/>
      <c r="E85" s="195"/>
      <c r="F85" s="199"/>
      <c r="G85" s="197"/>
      <c r="H85" s="182"/>
      <c r="I85" s="197"/>
      <c r="J85" s="194"/>
      <c r="K85" s="58"/>
      <c r="L85" s="182"/>
      <c r="R85" s="182"/>
      <c r="S85" s="182"/>
      <c r="T85" s="182"/>
      <c r="U85" s="182"/>
      <c r="V85" s="182"/>
      <c r="W85" s="182"/>
      <c r="X85" s="182"/>
      <c r="Y85" s="182"/>
      <c r="Z85" s="182"/>
      <c r="AA85" s="182"/>
      <c r="AB85" s="182"/>
      <c r="AC85" s="182"/>
      <c r="AD85" s="182"/>
      <c r="AE85" s="182"/>
    </row>
    <row r="86" spans="1:31" ht="21.75" customHeight="1" x14ac:dyDescent="0.25">
      <c r="A86" s="182"/>
      <c r="B86" s="182"/>
      <c r="C86" s="182"/>
      <c r="D86" s="194"/>
      <c r="E86" s="195"/>
      <c r="F86" s="199"/>
      <c r="G86" s="197"/>
      <c r="H86" s="182"/>
      <c r="I86" s="197"/>
      <c r="J86" s="194"/>
      <c r="K86" s="58"/>
      <c r="L86" s="182"/>
      <c r="R86" s="182"/>
      <c r="S86" s="182"/>
      <c r="T86" s="182"/>
      <c r="U86" s="182"/>
      <c r="V86" s="182"/>
      <c r="W86" s="182"/>
      <c r="X86" s="182"/>
      <c r="Y86" s="182"/>
      <c r="Z86" s="182"/>
      <c r="AA86" s="182"/>
      <c r="AB86" s="182"/>
      <c r="AC86" s="182"/>
      <c r="AD86" s="182"/>
      <c r="AE86" s="182"/>
    </row>
    <row r="87" spans="1:31" ht="21.75" customHeight="1" x14ac:dyDescent="0.25">
      <c r="A87" s="182"/>
      <c r="B87" s="198"/>
      <c r="C87" s="198"/>
      <c r="D87" s="200"/>
      <c r="E87" s="201"/>
      <c r="F87" s="199"/>
      <c r="G87" s="202"/>
      <c r="H87" s="198"/>
      <c r="I87" s="202"/>
      <c r="J87" s="200"/>
      <c r="L87" s="182"/>
      <c r="R87" s="182"/>
      <c r="S87" s="182"/>
      <c r="T87" s="182"/>
      <c r="U87" s="182"/>
      <c r="V87" s="182"/>
      <c r="W87" s="182"/>
      <c r="X87" s="182"/>
      <c r="Y87" s="182"/>
      <c r="Z87" s="182"/>
      <c r="AA87" s="182"/>
      <c r="AB87" s="182"/>
      <c r="AC87" s="182"/>
      <c r="AD87" s="182"/>
      <c r="AE87" s="182"/>
    </row>
    <row r="88" spans="1:31" ht="21.75" customHeight="1" x14ac:dyDescent="0.25">
      <c r="A88" s="198"/>
      <c r="B88" s="198"/>
      <c r="C88" s="198"/>
      <c r="D88" s="200"/>
      <c r="E88" s="201"/>
      <c r="F88" s="199"/>
      <c r="G88" s="202"/>
      <c r="H88" s="198"/>
      <c r="I88" s="202"/>
      <c r="J88" s="200"/>
      <c r="L88" s="198"/>
      <c r="R88" s="198"/>
      <c r="S88" s="182"/>
      <c r="T88" s="182"/>
      <c r="U88" s="182"/>
      <c r="V88" s="182"/>
      <c r="W88" s="182"/>
      <c r="X88" s="182"/>
      <c r="Y88" s="182"/>
      <c r="Z88" s="182"/>
      <c r="AA88" s="182"/>
      <c r="AB88" s="182"/>
      <c r="AC88" s="198"/>
      <c r="AD88" s="198"/>
      <c r="AE88" s="198"/>
    </row>
    <row r="89" spans="1:31" ht="21.75" customHeight="1" x14ac:dyDescent="0.25">
      <c r="A89" s="198"/>
      <c r="B89" s="198"/>
      <c r="C89" s="198"/>
      <c r="D89" s="200"/>
      <c r="E89" s="201"/>
      <c r="F89" s="199"/>
      <c r="G89" s="202"/>
      <c r="H89" s="198"/>
      <c r="I89" s="202"/>
      <c r="J89" s="200"/>
      <c r="L89" s="198"/>
      <c r="R89" s="198"/>
      <c r="S89" s="182"/>
      <c r="T89" s="182"/>
      <c r="U89" s="182"/>
      <c r="V89" s="182"/>
      <c r="W89" s="182"/>
      <c r="X89" s="182"/>
      <c r="Y89" s="182"/>
      <c r="Z89" s="182"/>
      <c r="AA89" s="182"/>
      <c r="AB89" s="182"/>
      <c r="AC89" s="198"/>
      <c r="AD89" s="198"/>
      <c r="AE89" s="198"/>
    </row>
    <row r="90" spans="1:31" ht="21.75" customHeight="1" x14ac:dyDescent="0.25">
      <c r="A90" s="198"/>
      <c r="B90" s="198"/>
      <c r="C90" s="198"/>
      <c r="D90" s="200"/>
      <c r="E90" s="201"/>
      <c r="F90" s="43"/>
      <c r="G90" s="202"/>
      <c r="H90" s="198"/>
      <c r="I90" s="202"/>
      <c r="J90" s="200"/>
      <c r="L90" s="198"/>
      <c r="R90" s="198"/>
      <c r="S90" s="182"/>
      <c r="T90" s="182"/>
      <c r="U90" s="182"/>
      <c r="V90" s="182"/>
      <c r="W90" s="182"/>
      <c r="X90" s="182"/>
      <c r="Y90" s="198"/>
      <c r="Z90" s="198"/>
      <c r="AA90" s="198"/>
      <c r="AB90" s="198"/>
      <c r="AC90" s="198"/>
      <c r="AD90" s="198"/>
      <c r="AE90" s="198"/>
    </row>
    <row r="91" spans="1:31" ht="21.75" customHeight="1" x14ac:dyDescent="0.25">
      <c r="A91" s="198"/>
      <c r="B91" s="198"/>
      <c r="C91" s="198"/>
      <c r="D91" s="200"/>
      <c r="E91" s="201"/>
      <c r="F91" s="43"/>
      <c r="G91" s="202"/>
      <c r="H91" s="198"/>
      <c r="I91" s="202"/>
      <c r="J91" s="200"/>
      <c r="L91" s="198"/>
      <c r="R91" s="198"/>
      <c r="S91" s="182"/>
      <c r="T91" s="182"/>
      <c r="U91" s="182"/>
      <c r="V91" s="182"/>
      <c r="W91" s="182"/>
      <c r="X91" s="182"/>
      <c r="Y91" s="198"/>
      <c r="Z91" s="198"/>
      <c r="AA91" s="198"/>
      <c r="AB91" s="198"/>
      <c r="AC91" s="198"/>
      <c r="AD91" s="198"/>
      <c r="AE91" s="198"/>
    </row>
    <row r="92" spans="1:31" ht="21.75" customHeight="1" x14ac:dyDescent="0.25">
      <c r="A92" s="198"/>
      <c r="B92" s="198"/>
      <c r="C92" s="198"/>
      <c r="D92" s="200"/>
      <c r="E92" s="201"/>
      <c r="F92" s="43"/>
      <c r="G92" s="202"/>
      <c r="H92" s="198"/>
      <c r="I92" s="202"/>
      <c r="J92" s="200"/>
      <c r="L92" s="198"/>
      <c r="R92" s="198"/>
      <c r="S92" s="182"/>
      <c r="T92" s="182"/>
      <c r="U92" s="182"/>
      <c r="V92" s="182"/>
      <c r="W92" s="182"/>
      <c r="X92" s="182"/>
      <c r="Y92" s="198"/>
      <c r="Z92" s="198"/>
      <c r="AA92" s="198"/>
      <c r="AB92" s="198"/>
      <c r="AC92" s="198"/>
      <c r="AD92" s="198"/>
      <c r="AE92" s="198"/>
    </row>
    <row r="93" spans="1:31" ht="21" customHeight="1" x14ac:dyDescent="0.25">
      <c r="A93" s="198"/>
      <c r="D93" s="39"/>
      <c r="E93" s="42"/>
      <c r="F93" s="43"/>
      <c r="G93" s="38"/>
      <c r="I93" s="38"/>
      <c r="J93" s="39"/>
      <c r="L93" s="198"/>
      <c r="R93" s="198"/>
      <c r="S93" s="198"/>
      <c r="T93" s="198"/>
      <c r="U93" s="198"/>
      <c r="V93" s="198"/>
      <c r="W93" s="198"/>
      <c r="X93" s="198"/>
      <c r="Y93" s="198"/>
      <c r="Z93" s="198"/>
      <c r="AA93" s="198"/>
      <c r="AB93" s="198"/>
      <c r="AC93" s="198"/>
      <c r="AD93" s="198"/>
      <c r="AE93" s="198"/>
    </row>
    <row r="94" spans="1:31" x14ac:dyDescent="0.25">
      <c r="D94" s="39"/>
      <c r="E94" s="42"/>
      <c r="F94" s="43"/>
      <c r="G94" s="38"/>
      <c r="I94" s="38"/>
      <c r="J94" s="39"/>
      <c r="S94" s="198"/>
      <c r="T94" s="198"/>
      <c r="U94" s="198"/>
      <c r="V94" s="198"/>
      <c r="W94" s="198"/>
      <c r="X94" s="198"/>
      <c r="Y94" s="198"/>
      <c r="Z94" s="198"/>
      <c r="AA94" s="198"/>
      <c r="AB94" s="198"/>
    </row>
    <row r="95" spans="1:31" x14ac:dyDescent="0.25">
      <c r="D95" s="39"/>
      <c r="E95" s="42"/>
      <c r="F95" s="43"/>
      <c r="G95" s="38"/>
      <c r="I95" s="38"/>
      <c r="J95" s="39"/>
      <c r="S95" s="198"/>
      <c r="T95" s="198"/>
      <c r="U95" s="198"/>
      <c r="V95" s="198"/>
      <c r="W95" s="198"/>
      <c r="X95" s="198"/>
      <c r="Y95" s="198"/>
      <c r="Z95" s="198"/>
      <c r="AA95" s="198"/>
      <c r="AB95" s="198"/>
    </row>
    <row r="96" spans="1:31" x14ac:dyDescent="0.25">
      <c r="D96" s="39"/>
      <c r="E96" s="42"/>
      <c r="F96" s="43"/>
      <c r="G96" s="38"/>
      <c r="I96" s="38"/>
      <c r="J96" s="39"/>
      <c r="S96" s="198"/>
      <c r="T96" s="198"/>
      <c r="U96" s="198"/>
      <c r="V96" s="198"/>
      <c r="W96" s="198"/>
      <c r="X96" s="198"/>
    </row>
    <row r="97" spans="4:24" x14ac:dyDescent="0.25">
      <c r="D97" s="39"/>
      <c r="E97" s="42"/>
      <c r="F97" s="43"/>
      <c r="G97" s="38"/>
      <c r="I97" s="38"/>
      <c r="J97" s="39"/>
      <c r="S97" s="198"/>
      <c r="T97" s="198"/>
      <c r="U97" s="198"/>
      <c r="V97" s="198"/>
      <c r="W97" s="198"/>
      <c r="X97" s="198"/>
    </row>
    <row r="98" spans="4:24" x14ac:dyDescent="0.25">
      <c r="D98" s="39"/>
      <c r="E98" s="42"/>
      <c r="F98" s="43"/>
      <c r="G98" s="38"/>
      <c r="I98" s="38"/>
      <c r="J98" s="39"/>
      <c r="K98" s="39"/>
      <c r="S98" s="198"/>
      <c r="T98" s="198"/>
      <c r="U98" s="198"/>
      <c r="V98" s="198"/>
      <c r="W98" s="198"/>
      <c r="X98" s="198"/>
    </row>
    <row r="99" spans="4:24" x14ac:dyDescent="0.25">
      <c r="D99" s="39"/>
      <c r="E99" s="42"/>
      <c r="F99" s="43"/>
      <c r="G99" s="38"/>
      <c r="I99" s="38"/>
      <c r="J99" s="39"/>
      <c r="K99" s="39"/>
    </row>
    <row r="100" spans="4:24" x14ac:dyDescent="0.25">
      <c r="D100" s="39"/>
      <c r="E100" s="42"/>
      <c r="F100" s="43"/>
      <c r="G100" s="38"/>
      <c r="I100" s="38"/>
      <c r="J100" s="39"/>
      <c r="K100" s="39"/>
    </row>
    <row r="101" spans="4:24" x14ac:dyDescent="0.25">
      <c r="D101" s="39"/>
      <c r="E101" s="42"/>
      <c r="F101" s="43"/>
      <c r="G101" s="38"/>
      <c r="I101" s="38"/>
      <c r="J101" s="39"/>
      <c r="K101" s="39"/>
    </row>
    <row r="102" spans="4:24" x14ac:dyDescent="0.25">
      <c r="D102" s="39"/>
      <c r="E102" s="42"/>
      <c r="F102" s="43"/>
      <c r="G102" s="38"/>
      <c r="I102" s="38"/>
      <c r="J102" s="39"/>
      <c r="K102" s="39"/>
    </row>
    <row r="103" spans="4:24" x14ac:dyDescent="0.25">
      <c r="D103" s="39"/>
      <c r="E103" s="42"/>
      <c r="F103" s="43"/>
      <c r="G103" s="38"/>
      <c r="I103" s="38"/>
      <c r="J103" s="39"/>
      <c r="K103" s="39"/>
    </row>
    <row r="104" spans="4:24" x14ac:dyDescent="0.25">
      <c r="D104" s="39"/>
      <c r="E104" s="42"/>
      <c r="F104" s="43"/>
      <c r="G104" s="38"/>
      <c r="I104" s="38"/>
      <c r="J104" s="39"/>
      <c r="K104" s="39"/>
    </row>
    <row r="105" spans="4:24" x14ac:dyDescent="0.25">
      <c r="D105" s="39"/>
      <c r="E105" s="42"/>
      <c r="F105" s="43"/>
      <c r="G105" s="38"/>
      <c r="I105" s="38"/>
      <c r="J105" s="39"/>
      <c r="K105" s="39"/>
    </row>
    <row r="106" spans="4:24" x14ac:dyDescent="0.25">
      <c r="D106" s="39"/>
      <c r="E106" s="42"/>
      <c r="F106" s="43"/>
      <c r="G106" s="38"/>
      <c r="I106" s="38"/>
      <c r="J106" s="39"/>
      <c r="K106" s="39"/>
    </row>
    <row r="107" spans="4:24" x14ac:dyDescent="0.25">
      <c r="D107" s="39"/>
      <c r="E107" s="42"/>
      <c r="F107" s="43"/>
      <c r="G107" s="38"/>
      <c r="I107" s="38"/>
      <c r="J107" s="39"/>
      <c r="K107" s="39"/>
    </row>
    <row r="108" spans="4:24" x14ac:dyDescent="0.25">
      <c r="D108" s="39"/>
      <c r="E108" s="42"/>
      <c r="F108" s="43"/>
      <c r="G108" s="38"/>
      <c r="I108" s="38"/>
      <c r="J108" s="39"/>
      <c r="K108" s="39"/>
    </row>
    <row r="109" spans="4:24" x14ac:dyDescent="0.25">
      <c r="D109" s="39"/>
      <c r="E109" s="42"/>
      <c r="F109" s="43"/>
      <c r="G109" s="38"/>
      <c r="I109" s="38"/>
      <c r="J109" s="39"/>
      <c r="K109" s="39"/>
    </row>
    <row r="110" spans="4:24" x14ac:dyDescent="0.25">
      <c r="D110" s="39"/>
      <c r="E110" s="42"/>
      <c r="F110" s="43"/>
      <c r="G110" s="38"/>
      <c r="I110" s="38"/>
      <c r="J110" s="39"/>
      <c r="K110" s="39"/>
    </row>
    <row r="111" spans="4:24" x14ac:dyDescent="0.25">
      <c r="D111" s="39"/>
      <c r="E111" s="42"/>
      <c r="F111" s="43"/>
      <c r="G111" s="38"/>
      <c r="I111" s="38"/>
      <c r="J111" s="39"/>
      <c r="K111" s="39"/>
    </row>
    <row r="112" spans="4:24" x14ac:dyDescent="0.25">
      <c r="D112" s="39"/>
      <c r="E112" s="42"/>
      <c r="F112" s="43"/>
      <c r="G112" s="38"/>
      <c r="I112" s="38"/>
      <c r="J112" s="39"/>
      <c r="K112" s="39"/>
    </row>
    <row r="113" spans="4:11" x14ac:dyDescent="0.25">
      <c r="D113" s="39"/>
      <c r="E113" s="42"/>
      <c r="F113" s="43"/>
      <c r="G113" s="38"/>
      <c r="I113" s="38"/>
      <c r="J113" s="39"/>
      <c r="K113" s="39"/>
    </row>
    <row r="114" spans="4:11" x14ac:dyDescent="0.25">
      <c r="D114" s="39"/>
      <c r="E114" s="42"/>
      <c r="F114" s="43"/>
      <c r="G114" s="38"/>
      <c r="I114" s="38"/>
      <c r="J114" s="39"/>
      <c r="K114" s="39"/>
    </row>
    <row r="115" spans="4:11" x14ac:dyDescent="0.25">
      <c r="D115" s="39"/>
      <c r="E115" s="42"/>
      <c r="F115" s="43"/>
      <c r="G115" s="38"/>
      <c r="I115" s="38"/>
      <c r="J115" s="39"/>
      <c r="K115" s="39"/>
    </row>
    <row r="116" spans="4:11" x14ac:dyDescent="0.25">
      <c r="D116" s="39"/>
      <c r="E116" s="42"/>
      <c r="F116" s="43"/>
      <c r="G116" s="38"/>
      <c r="I116" s="38"/>
      <c r="J116" s="39"/>
      <c r="K116" s="39"/>
    </row>
    <row r="117" spans="4:11" x14ac:dyDescent="0.25">
      <c r="D117" s="39"/>
      <c r="E117" s="42"/>
      <c r="F117" s="43"/>
      <c r="G117" s="38"/>
      <c r="I117" s="38"/>
      <c r="J117" s="39"/>
      <c r="K117" s="39"/>
    </row>
    <row r="118" spans="4:11" x14ac:dyDescent="0.25">
      <c r="D118" s="39"/>
      <c r="E118" s="42"/>
      <c r="F118" s="43"/>
      <c r="G118" s="38"/>
      <c r="I118" s="38"/>
      <c r="J118" s="39"/>
      <c r="K118" s="39"/>
    </row>
    <row r="119" spans="4:11" x14ac:dyDescent="0.25">
      <c r="D119" s="39"/>
      <c r="E119" s="42"/>
      <c r="F119" s="43"/>
      <c r="G119" s="38"/>
      <c r="I119" s="38"/>
      <c r="J119" s="39"/>
      <c r="K119" s="39"/>
    </row>
    <row r="120" spans="4:11" x14ac:dyDescent="0.25">
      <c r="D120" s="39"/>
      <c r="E120" s="42"/>
      <c r="F120" s="43"/>
      <c r="G120" s="38"/>
      <c r="I120" s="38"/>
      <c r="J120" s="39"/>
      <c r="K120" s="39"/>
    </row>
    <row r="121" spans="4:11" x14ac:dyDescent="0.25">
      <c r="D121" s="39"/>
      <c r="E121" s="42"/>
      <c r="F121" s="43"/>
      <c r="G121" s="38"/>
      <c r="I121" s="38"/>
      <c r="J121" s="39"/>
      <c r="K121" s="39"/>
    </row>
    <row r="122" spans="4:11" x14ac:dyDescent="0.25">
      <c r="D122" s="39"/>
      <c r="E122" s="42"/>
      <c r="F122" s="43"/>
      <c r="G122" s="38"/>
      <c r="I122" s="38"/>
      <c r="J122" s="39"/>
      <c r="K122" s="39"/>
    </row>
    <row r="123" spans="4:11" x14ac:dyDescent="0.25">
      <c r="D123" s="39"/>
      <c r="E123" s="42"/>
      <c r="F123" s="43"/>
      <c r="G123" s="38"/>
      <c r="I123" s="38"/>
      <c r="J123" s="39"/>
      <c r="K123" s="39"/>
    </row>
    <row r="124" spans="4:11" x14ac:dyDescent="0.25">
      <c r="D124" s="39"/>
      <c r="E124" s="42"/>
      <c r="F124" s="43"/>
      <c r="G124" s="38"/>
      <c r="I124" s="38"/>
      <c r="J124" s="39"/>
      <c r="K124" s="39"/>
    </row>
    <row r="125" spans="4:11" x14ac:dyDescent="0.25">
      <c r="D125" s="39"/>
      <c r="E125" s="42"/>
      <c r="F125" s="43"/>
      <c r="G125" s="38"/>
      <c r="I125" s="38"/>
      <c r="J125" s="39"/>
      <c r="K125" s="39"/>
    </row>
    <row r="126" spans="4:11" x14ac:dyDescent="0.25">
      <c r="D126" s="39"/>
      <c r="E126" s="42"/>
      <c r="F126" s="43"/>
      <c r="G126" s="38"/>
      <c r="I126" s="38"/>
      <c r="J126" s="39"/>
      <c r="K126" s="39"/>
    </row>
    <row r="127" spans="4:11" x14ac:dyDescent="0.25">
      <c r="D127" s="39"/>
      <c r="E127" s="42"/>
      <c r="F127" s="43"/>
      <c r="G127" s="38"/>
      <c r="I127" s="38"/>
      <c r="J127" s="39"/>
      <c r="K127" s="39"/>
    </row>
    <row r="128" spans="4:11" x14ac:dyDescent="0.25">
      <c r="D128" s="39"/>
      <c r="E128" s="42"/>
      <c r="F128" s="43"/>
      <c r="G128" s="38"/>
      <c r="I128" s="38"/>
      <c r="J128" s="39"/>
      <c r="K128" s="39"/>
    </row>
    <row r="129" spans="4:11" x14ac:dyDescent="0.25">
      <c r="D129" s="39"/>
      <c r="E129" s="42"/>
      <c r="F129" s="43"/>
      <c r="G129" s="38"/>
      <c r="I129" s="38"/>
      <c r="J129" s="39"/>
      <c r="K129" s="39"/>
    </row>
    <row r="130" spans="4:11" x14ac:dyDescent="0.25">
      <c r="D130" s="39"/>
      <c r="E130" s="42"/>
      <c r="F130" s="43"/>
      <c r="G130" s="38"/>
      <c r="I130" s="38"/>
      <c r="J130" s="39"/>
      <c r="K130" s="39"/>
    </row>
    <row r="131" spans="4:11" x14ac:dyDescent="0.25">
      <c r="D131" s="39"/>
      <c r="E131" s="42"/>
      <c r="F131" s="43"/>
      <c r="G131" s="38"/>
      <c r="I131" s="38"/>
      <c r="J131" s="39"/>
      <c r="K131" s="39"/>
    </row>
    <row r="132" spans="4:11" x14ac:dyDescent="0.25">
      <c r="D132" s="39"/>
      <c r="E132" s="42"/>
      <c r="F132" s="43"/>
      <c r="G132" s="38"/>
      <c r="I132" s="38"/>
      <c r="J132" s="39"/>
      <c r="K132" s="39"/>
    </row>
    <row r="133" spans="4:11" x14ac:dyDescent="0.25">
      <c r="D133" s="39"/>
      <c r="E133" s="42"/>
      <c r="F133" s="43"/>
      <c r="G133" s="38"/>
      <c r="I133" s="38"/>
      <c r="J133" s="39"/>
      <c r="K133" s="39"/>
    </row>
    <row r="134" spans="4:11" x14ac:dyDescent="0.25">
      <c r="D134" s="39"/>
      <c r="E134" s="42"/>
      <c r="F134" s="43"/>
      <c r="G134" s="38"/>
      <c r="I134" s="38"/>
      <c r="J134" s="39"/>
      <c r="K134" s="39"/>
    </row>
    <row r="135" spans="4:11" x14ac:dyDescent="0.25">
      <c r="D135" s="39"/>
      <c r="E135" s="42"/>
      <c r="F135" s="43"/>
      <c r="G135" s="38"/>
      <c r="I135" s="38"/>
      <c r="J135" s="39"/>
      <c r="K135" s="39"/>
    </row>
    <row r="136" spans="4:11" x14ac:dyDescent="0.25">
      <c r="D136" s="39"/>
      <c r="E136" s="42"/>
      <c r="F136" s="43"/>
      <c r="G136" s="38"/>
      <c r="I136" s="38"/>
      <c r="J136" s="39"/>
      <c r="K136" s="39"/>
    </row>
    <row r="137" spans="4:11" x14ac:dyDescent="0.25">
      <c r="D137" s="39"/>
      <c r="E137" s="42"/>
      <c r="F137" s="43"/>
      <c r="G137" s="38"/>
      <c r="I137" s="38"/>
      <c r="J137" s="39"/>
      <c r="K137" s="39"/>
    </row>
    <row r="138" spans="4:11" x14ac:dyDescent="0.25">
      <c r="D138" s="39"/>
      <c r="E138" s="42"/>
      <c r="F138" s="43"/>
      <c r="G138" s="38"/>
      <c r="I138" s="38"/>
      <c r="J138" s="39"/>
      <c r="K138" s="39"/>
    </row>
    <row r="139" spans="4:11" x14ac:dyDescent="0.25">
      <c r="D139" s="39"/>
      <c r="E139" s="42"/>
      <c r="F139" s="43"/>
      <c r="G139" s="38"/>
      <c r="I139" s="38"/>
      <c r="J139" s="39"/>
      <c r="K139" s="39"/>
    </row>
    <row r="140" spans="4:11" x14ac:dyDescent="0.25">
      <c r="D140" s="39"/>
      <c r="E140" s="42"/>
      <c r="F140" s="43"/>
      <c r="G140" s="38"/>
      <c r="I140" s="38"/>
      <c r="J140" s="39"/>
      <c r="K140" s="39"/>
    </row>
    <row r="141" spans="4:11" x14ac:dyDescent="0.25">
      <c r="D141" s="39"/>
      <c r="E141" s="42"/>
      <c r="F141" s="43"/>
      <c r="G141" s="38"/>
      <c r="I141" s="38"/>
      <c r="J141" s="39"/>
      <c r="K141" s="39"/>
    </row>
    <row r="142" spans="4:11" x14ac:dyDescent="0.25">
      <c r="D142" s="39"/>
      <c r="E142" s="42"/>
      <c r="F142" s="43"/>
      <c r="G142" s="38"/>
      <c r="I142" s="38"/>
      <c r="J142" s="39"/>
      <c r="K142" s="39"/>
    </row>
    <row r="143" spans="4:11" x14ac:dyDescent="0.25">
      <c r="D143" s="39"/>
      <c r="E143" s="42"/>
      <c r="F143" s="43"/>
      <c r="G143" s="38"/>
      <c r="I143" s="38"/>
      <c r="J143" s="39"/>
      <c r="K143" s="39"/>
    </row>
    <row r="144" spans="4:11" x14ac:dyDescent="0.25">
      <c r="D144" s="39"/>
      <c r="E144" s="42"/>
      <c r="F144" s="43"/>
      <c r="G144" s="38"/>
      <c r="I144" s="38"/>
      <c r="J144" s="39"/>
      <c r="K144" s="39"/>
    </row>
    <row r="145" spans="4:11" x14ac:dyDescent="0.25">
      <c r="D145" s="39"/>
      <c r="E145" s="42"/>
      <c r="F145" s="43"/>
      <c r="G145" s="38"/>
      <c r="I145" s="38"/>
      <c r="J145" s="39"/>
      <c r="K145" s="39"/>
    </row>
    <row r="146" spans="4:11" x14ac:dyDescent="0.25">
      <c r="D146" s="39"/>
      <c r="E146" s="42"/>
      <c r="F146" s="43"/>
      <c r="G146" s="38"/>
      <c r="I146" s="38"/>
      <c r="J146" s="39"/>
      <c r="K146" s="39"/>
    </row>
    <row r="147" spans="4:11" x14ac:dyDescent="0.25">
      <c r="D147" s="39"/>
      <c r="E147" s="42"/>
      <c r="F147" s="43"/>
      <c r="G147" s="38"/>
      <c r="I147" s="38"/>
      <c r="J147" s="39"/>
      <c r="K147" s="39"/>
    </row>
    <row r="148" spans="4:11" x14ac:dyDescent="0.25">
      <c r="D148" s="39"/>
      <c r="E148" s="42"/>
      <c r="F148" s="43"/>
      <c r="G148" s="38"/>
      <c r="I148" s="38"/>
      <c r="J148" s="39"/>
      <c r="K148" s="39"/>
    </row>
    <row r="149" spans="4:11" x14ac:dyDescent="0.25">
      <c r="D149" s="39"/>
      <c r="E149" s="42"/>
      <c r="F149" s="43"/>
      <c r="G149" s="38"/>
      <c r="I149" s="38"/>
      <c r="J149" s="39"/>
      <c r="K149" s="39"/>
    </row>
    <row r="150" spans="4:11" x14ac:dyDescent="0.25">
      <c r="D150" s="39"/>
      <c r="E150" s="42"/>
      <c r="F150" s="43"/>
      <c r="G150" s="38"/>
      <c r="I150" s="38"/>
      <c r="J150" s="39"/>
      <c r="K150" s="39"/>
    </row>
    <row r="151" spans="4:11" x14ac:dyDescent="0.25">
      <c r="D151" s="39"/>
      <c r="E151" s="42"/>
      <c r="F151" s="43"/>
      <c r="G151" s="38"/>
      <c r="I151" s="38"/>
      <c r="J151" s="39"/>
      <c r="K151" s="39"/>
    </row>
    <row r="152" spans="4:11" x14ac:dyDescent="0.25">
      <c r="D152" s="39"/>
      <c r="E152" s="42"/>
      <c r="F152" s="43"/>
      <c r="G152" s="38"/>
      <c r="I152" s="38"/>
      <c r="J152" s="39"/>
      <c r="K152" s="39"/>
    </row>
    <row r="153" spans="4:11" x14ac:dyDescent="0.25">
      <c r="D153" s="39"/>
      <c r="E153" s="42"/>
      <c r="F153" s="43"/>
      <c r="G153" s="38"/>
      <c r="I153" s="38"/>
      <c r="J153" s="39"/>
      <c r="K153" s="39"/>
    </row>
    <row r="154" spans="4:11" x14ac:dyDescent="0.25">
      <c r="D154" s="39"/>
      <c r="E154" s="42"/>
      <c r="F154" s="43"/>
      <c r="G154" s="38"/>
      <c r="I154" s="38"/>
      <c r="J154" s="39"/>
      <c r="K154" s="39"/>
    </row>
    <row r="155" spans="4:11" x14ac:dyDescent="0.25">
      <c r="D155" s="39"/>
      <c r="E155" s="42"/>
      <c r="F155" s="43"/>
      <c r="G155" s="38"/>
      <c r="I155" s="38"/>
      <c r="J155" s="39"/>
      <c r="K155" s="39"/>
    </row>
    <row r="156" spans="4:11" x14ac:dyDescent="0.25">
      <c r="D156" s="39"/>
      <c r="E156" s="42"/>
      <c r="F156" s="43"/>
      <c r="G156" s="38"/>
      <c r="I156" s="38"/>
      <c r="J156" s="39"/>
      <c r="K156" s="39"/>
    </row>
    <row r="157" spans="4:11" x14ac:dyDescent="0.25">
      <c r="D157" s="39"/>
      <c r="E157" s="42"/>
      <c r="F157" s="43"/>
      <c r="G157" s="38"/>
      <c r="I157" s="38"/>
      <c r="J157" s="39"/>
      <c r="K157" s="39"/>
    </row>
    <row r="158" spans="4:11" x14ac:dyDescent="0.25">
      <c r="D158" s="39"/>
      <c r="E158" s="42"/>
      <c r="F158" s="43"/>
      <c r="G158" s="38"/>
      <c r="I158" s="38"/>
      <c r="J158" s="39"/>
      <c r="K158" s="39"/>
    </row>
    <row r="159" spans="4:11" x14ac:dyDescent="0.25">
      <c r="D159" s="39"/>
      <c r="E159" s="42"/>
      <c r="F159" s="43"/>
      <c r="G159" s="38"/>
      <c r="I159" s="38"/>
      <c r="J159" s="39"/>
      <c r="K159" s="39"/>
    </row>
    <row r="160" spans="4:11" x14ac:dyDescent="0.25">
      <c r="D160" s="39"/>
      <c r="E160" s="42"/>
      <c r="F160" s="43"/>
      <c r="G160" s="38"/>
      <c r="I160" s="38"/>
      <c r="J160" s="39"/>
      <c r="K160" s="39"/>
    </row>
    <row r="161" spans="4:11" x14ac:dyDescent="0.25">
      <c r="D161" s="39"/>
      <c r="E161" s="42"/>
      <c r="F161" s="43"/>
      <c r="G161" s="38"/>
      <c r="I161" s="38"/>
      <c r="J161" s="39"/>
      <c r="K161" s="39"/>
    </row>
    <row r="162" spans="4:11" x14ac:dyDescent="0.25">
      <c r="D162" s="39"/>
      <c r="E162" s="42"/>
      <c r="F162" s="43"/>
      <c r="G162" s="38"/>
      <c r="I162" s="38"/>
      <c r="J162" s="39"/>
      <c r="K162" s="39"/>
    </row>
    <row r="163" spans="4:11" x14ac:dyDescent="0.25">
      <c r="D163" s="39"/>
      <c r="E163" s="42"/>
      <c r="F163" s="43"/>
      <c r="G163" s="38"/>
      <c r="I163" s="38"/>
      <c r="J163" s="39"/>
      <c r="K163" s="39"/>
    </row>
    <row r="164" spans="4:11" x14ac:dyDescent="0.25">
      <c r="D164" s="39"/>
      <c r="E164" s="42"/>
      <c r="F164" s="43"/>
      <c r="G164" s="38"/>
      <c r="I164" s="38"/>
      <c r="J164" s="39"/>
      <c r="K164" s="39"/>
    </row>
    <row r="165" spans="4:11" x14ac:dyDescent="0.25">
      <c r="D165" s="39"/>
      <c r="E165" s="42"/>
      <c r="F165" s="43"/>
      <c r="G165" s="38"/>
      <c r="I165" s="38"/>
      <c r="J165" s="39"/>
      <c r="K165" s="39"/>
    </row>
    <row r="166" spans="4:11" x14ac:dyDescent="0.25">
      <c r="D166" s="39"/>
      <c r="E166" s="42"/>
      <c r="F166" s="43"/>
      <c r="G166" s="38"/>
      <c r="I166" s="38"/>
      <c r="J166" s="39"/>
      <c r="K166" s="39"/>
    </row>
    <row r="167" spans="4:11" x14ac:dyDescent="0.25">
      <c r="D167" s="39"/>
      <c r="E167" s="42"/>
      <c r="F167" s="43"/>
      <c r="G167" s="38"/>
      <c r="I167" s="38"/>
      <c r="J167" s="39"/>
      <c r="K167" s="39"/>
    </row>
    <row r="168" spans="4:11" x14ac:dyDescent="0.25">
      <c r="D168" s="39"/>
      <c r="E168" s="42"/>
      <c r="F168" s="43"/>
      <c r="G168" s="38"/>
      <c r="I168" s="38"/>
      <c r="J168" s="39"/>
      <c r="K168" s="39"/>
    </row>
    <row r="169" spans="4:11" x14ac:dyDescent="0.25">
      <c r="D169" s="39"/>
      <c r="E169" s="42"/>
      <c r="F169" s="43"/>
      <c r="G169" s="38"/>
      <c r="I169" s="38"/>
      <c r="J169" s="39"/>
      <c r="K169" s="39"/>
    </row>
    <row r="170" spans="4:11" x14ac:dyDescent="0.25">
      <c r="D170" s="39"/>
      <c r="E170" s="42"/>
      <c r="F170" s="43"/>
      <c r="G170" s="38"/>
      <c r="I170" s="38"/>
      <c r="J170" s="39"/>
      <c r="K170" s="39"/>
    </row>
    <row r="171" spans="4:11" x14ac:dyDescent="0.25">
      <c r="D171" s="39"/>
      <c r="E171" s="42"/>
      <c r="F171" s="43"/>
      <c r="G171" s="38"/>
      <c r="I171" s="38"/>
      <c r="J171" s="39"/>
      <c r="K171" s="39"/>
    </row>
    <row r="172" spans="4:11" x14ac:dyDescent="0.25">
      <c r="D172" s="39"/>
      <c r="E172" s="42"/>
      <c r="F172" s="43"/>
      <c r="G172" s="38"/>
      <c r="I172" s="38"/>
      <c r="J172" s="39"/>
      <c r="K172" s="39"/>
    </row>
    <row r="173" spans="4:11" x14ac:dyDescent="0.25">
      <c r="D173" s="39"/>
      <c r="E173" s="42"/>
      <c r="F173" s="43"/>
      <c r="G173" s="38"/>
      <c r="I173" s="38"/>
      <c r="J173" s="39"/>
      <c r="K173" s="39"/>
    </row>
    <row r="174" spans="4:11" x14ac:dyDescent="0.25">
      <c r="D174" s="39"/>
      <c r="E174" s="42"/>
      <c r="F174" s="43"/>
      <c r="G174" s="38"/>
      <c r="I174" s="38"/>
      <c r="J174" s="39"/>
      <c r="K174" s="39"/>
    </row>
    <row r="175" spans="4:11" x14ac:dyDescent="0.25">
      <c r="D175" s="39"/>
      <c r="E175" s="42"/>
      <c r="F175" s="43"/>
      <c r="G175" s="38"/>
      <c r="I175" s="38"/>
      <c r="J175" s="39"/>
      <c r="K175" s="39"/>
    </row>
    <row r="176" spans="4:11" x14ac:dyDescent="0.25">
      <c r="D176" s="39"/>
      <c r="E176" s="42"/>
      <c r="F176" s="43"/>
      <c r="G176" s="38"/>
      <c r="I176" s="38"/>
      <c r="J176" s="39"/>
      <c r="K176" s="39"/>
    </row>
    <row r="177" spans="4:11" x14ac:dyDescent="0.25">
      <c r="D177" s="39"/>
      <c r="E177" s="42"/>
      <c r="F177" s="43"/>
      <c r="G177" s="38"/>
      <c r="I177" s="38"/>
      <c r="J177" s="39"/>
      <c r="K177" s="39"/>
    </row>
    <row r="178" spans="4:11" x14ac:dyDescent="0.25">
      <c r="D178" s="39"/>
      <c r="E178" s="42"/>
      <c r="F178" s="43"/>
      <c r="G178" s="38"/>
      <c r="I178" s="38"/>
      <c r="J178" s="39"/>
      <c r="K178" s="39"/>
    </row>
    <row r="179" spans="4:11" x14ac:dyDescent="0.25">
      <c r="D179" s="39"/>
      <c r="E179" s="42"/>
      <c r="F179" s="43"/>
      <c r="G179" s="38"/>
      <c r="I179" s="38"/>
      <c r="J179" s="39"/>
      <c r="K179" s="39"/>
    </row>
    <row r="180" spans="4:11" x14ac:dyDescent="0.25">
      <c r="D180" s="39"/>
      <c r="E180" s="42"/>
      <c r="F180" s="43"/>
      <c r="G180" s="38"/>
      <c r="I180" s="38"/>
      <c r="J180" s="39"/>
      <c r="K180" s="39"/>
    </row>
    <row r="181" spans="4:11" x14ac:dyDescent="0.25">
      <c r="D181" s="39"/>
      <c r="E181" s="42"/>
      <c r="F181" s="43"/>
      <c r="G181" s="38"/>
      <c r="I181" s="38"/>
      <c r="J181" s="39"/>
      <c r="K181" s="39"/>
    </row>
    <row r="182" spans="4:11" x14ac:dyDescent="0.25">
      <c r="D182" s="39"/>
      <c r="E182" s="42"/>
      <c r="F182" s="43"/>
      <c r="G182" s="38"/>
      <c r="I182" s="38"/>
      <c r="J182" s="39"/>
      <c r="K182" s="39"/>
    </row>
    <row r="183" spans="4:11" x14ac:dyDescent="0.25">
      <c r="D183" s="39"/>
      <c r="E183" s="42"/>
      <c r="F183" s="43"/>
      <c r="G183" s="38"/>
      <c r="I183" s="38"/>
      <c r="J183" s="39"/>
      <c r="K183" s="39"/>
    </row>
    <row r="184" spans="4:11" x14ac:dyDescent="0.25">
      <c r="D184" s="39"/>
      <c r="E184" s="42"/>
      <c r="F184" s="43"/>
      <c r="G184" s="38"/>
      <c r="I184" s="38"/>
      <c r="J184" s="39"/>
      <c r="K184" s="39"/>
    </row>
    <row r="185" spans="4:11" x14ac:dyDescent="0.25">
      <c r="D185" s="39"/>
      <c r="E185" s="42"/>
      <c r="F185" s="43"/>
      <c r="G185" s="38"/>
      <c r="I185" s="38"/>
      <c r="J185" s="39"/>
      <c r="K185" s="39"/>
    </row>
    <row r="186" spans="4:11" x14ac:dyDescent="0.25">
      <c r="D186" s="39"/>
      <c r="E186" s="42"/>
      <c r="F186" s="43"/>
      <c r="G186" s="38"/>
      <c r="I186" s="38"/>
      <c r="J186" s="39"/>
      <c r="K186" s="39"/>
    </row>
    <row r="187" spans="4:11" x14ac:dyDescent="0.25">
      <c r="D187" s="39"/>
      <c r="E187" s="42"/>
      <c r="F187" s="43"/>
      <c r="G187" s="38"/>
      <c r="I187" s="38"/>
      <c r="J187" s="39"/>
      <c r="K187" s="39"/>
    </row>
    <row r="188" spans="4:11" x14ac:dyDescent="0.25">
      <c r="D188" s="39"/>
      <c r="E188" s="42"/>
      <c r="F188" s="43"/>
      <c r="G188" s="38"/>
      <c r="I188" s="38"/>
      <c r="J188" s="39"/>
      <c r="K188" s="39"/>
    </row>
    <row r="189" spans="4:11" x14ac:dyDescent="0.25">
      <c r="D189" s="39"/>
      <c r="E189" s="42"/>
      <c r="F189" s="43"/>
      <c r="G189" s="38"/>
      <c r="I189" s="38"/>
      <c r="J189" s="39"/>
      <c r="K189" s="39"/>
    </row>
    <row r="190" spans="4:11" x14ac:dyDescent="0.25">
      <c r="D190" s="39"/>
      <c r="E190" s="42"/>
      <c r="F190" s="43"/>
      <c r="G190" s="38"/>
      <c r="I190" s="38"/>
      <c r="J190" s="39"/>
      <c r="K190" s="39"/>
    </row>
    <row r="191" spans="4:11" x14ac:dyDescent="0.25">
      <c r="D191" s="39"/>
      <c r="E191" s="42"/>
      <c r="F191" s="43"/>
      <c r="G191" s="38"/>
      <c r="I191" s="38"/>
      <c r="J191" s="39"/>
      <c r="K191" s="39"/>
    </row>
    <row r="192" spans="4:11" x14ac:dyDescent="0.25">
      <c r="D192" s="39"/>
      <c r="E192" s="42"/>
      <c r="F192" s="43"/>
      <c r="G192" s="38"/>
      <c r="I192" s="38"/>
      <c r="J192" s="39"/>
      <c r="K192" s="39"/>
    </row>
    <row r="193" spans="4:11" x14ac:dyDescent="0.25">
      <c r="D193" s="39"/>
      <c r="E193" s="42"/>
      <c r="F193" s="43"/>
      <c r="G193" s="38"/>
      <c r="I193" s="38"/>
      <c r="J193" s="39"/>
      <c r="K193" s="39"/>
    </row>
    <row r="194" spans="4:11" x14ac:dyDescent="0.25">
      <c r="D194" s="39"/>
      <c r="E194" s="42"/>
      <c r="F194" s="43"/>
      <c r="G194" s="38"/>
      <c r="I194" s="38"/>
      <c r="J194" s="39"/>
      <c r="K194" s="39"/>
    </row>
    <row r="195" spans="4:11" x14ac:dyDescent="0.25">
      <c r="D195" s="39"/>
      <c r="E195" s="42"/>
      <c r="F195" s="43"/>
      <c r="G195" s="38"/>
      <c r="I195" s="38"/>
      <c r="J195" s="39"/>
      <c r="K195" s="39"/>
    </row>
    <row r="196" spans="4:11" x14ac:dyDescent="0.25">
      <c r="D196" s="39"/>
      <c r="E196" s="42"/>
      <c r="F196" s="43"/>
      <c r="G196" s="38"/>
      <c r="I196" s="38"/>
      <c r="J196" s="39"/>
      <c r="K196" s="39"/>
    </row>
    <row r="197" spans="4:11" x14ac:dyDescent="0.25">
      <c r="D197" s="39"/>
      <c r="E197" s="42"/>
      <c r="F197" s="43"/>
      <c r="G197" s="38"/>
      <c r="I197" s="38"/>
      <c r="J197" s="39"/>
      <c r="K197" s="39"/>
    </row>
    <row r="198" spans="4:11" x14ac:dyDescent="0.25">
      <c r="D198" s="39"/>
      <c r="E198" s="42"/>
      <c r="F198" s="43"/>
      <c r="G198" s="38"/>
      <c r="I198" s="38"/>
      <c r="J198" s="39"/>
      <c r="K198" s="39"/>
    </row>
    <row r="199" spans="4:11" x14ac:dyDescent="0.25">
      <c r="D199" s="39"/>
      <c r="E199" s="42"/>
      <c r="F199" s="43"/>
      <c r="G199" s="38"/>
      <c r="I199" s="38"/>
      <c r="J199" s="39"/>
      <c r="K199" s="39"/>
    </row>
    <row r="200" spans="4:11" x14ac:dyDescent="0.25">
      <c r="D200" s="39"/>
      <c r="E200" s="42"/>
      <c r="F200" s="43"/>
      <c r="G200" s="38"/>
      <c r="I200" s="38"/>
      <c r="J200" s="39"/>
      <c r="K200" s="39"/>
    </row>
    <row r="201" spans="4:11" x14ac:dyDescent="0.25">
      <c r="D201" s="39"/>
      <c r="E201" s="42"/>
      <c r="F201" s="43"/>
      <c r="G201" s="38"/>
      <c r="I201" s="38"/>
      <c r="J201" s="39"/>
      <c r="K201" s="39"/>
    </row>
    <row r="202" spans="4:11" x14ac:dyDescent="0.25">
      <c r="D202" s="39"/>
      <c r="E202" s="42"/>
      <c r="F202" s="43"/>
      <c r="G202" s="38"/>
      <c r="I202" s="38"/>
      <c r="J202" s="39"/>
      <c r="K202" s="39"/>
    </row>
    <row r="203" spans="4:11" x14ac:dyDescent="0.25">
      <c r="D203" s="39"/>
      <c r="E203" s="42"/>
      <c r="F203" s="43"/>
      <c r="G203" s="38"/>
      <c r="I203" s="38"/>
      <c r="J203" s="39"/>
      <c r="K203" s="39"/>
    </row>
    <row r="204" spans="4:11" x14ac:dyDescent="0.25">
      <c r="D204" s="39"/>
      <c r="E204" s="42"/>
      <c r="F204" s="43"/>
      <c r="G204" s="38"/>
      <c r="I204" s="38"/>
      <c r="J204" s="39"/>
      <c r="K204" s="39"/>
    </row>
    <row r="205" spans="4:11" x14ac:dyDescent="0.25">
      <c r="D205" s="39"/>
      <c r="E205" s="42"/>
      <c r="F205" s="43"/>
      <c r="G205" s="38"/>
      <c r="I205" s="38"/>
      <c r="J205" s="39"/>
      <c r="K205" s="39"/>
    </row>
    <row r="206" spans="4:11" x14ac:dyDescent="0.25">
      <c r="D206" s="39"/>
      <c r="E206" s="42"/>
      <c r="F206" s="43"/>
      <c r="G206" s="38"/>
      <c r="I206" s="38"/>
      <c r="J206" s="39"/>
      <c r="K206" s="39"/>
    </row>
    <row r="207" spans="4:11" x14ac:dyDescent="0.25">
      <c r="D207" s="39"/>
      <c r="E207" s="42"/>
      <c r="F207" s="43"/>
      <c r="G207" s="38"/>
      <c r="I207" s="38"/>
      <c r="J207" s="39"/>
      <c r="K207" s="39"/>
    </row>
    <row r="208" spans="4:11" x14ac:dyDescent="0.25">
      <c r="D208" s="39"/>
      <c r="E208" s="42"/>
      <c r="F208" s="43"/>
      <c r="G208" s="38"/>
      <c r="I208" s="38"/>
      <c r="J208" s="39"/>
      <c r="K208" s="39"/>
    </row>
    <row r="209" spans="4:11" x14ac:dyDescent="0.25">
      <c r="D209" s="39"/>
      <c r="E209" s="42"/>
      <c r="F209" s="43"/>
      <c r="G209" s="38"/>
      <c r="I209" s="38"/>
      <c r="J209" s="39"/>
      <c r="K209" s="39"/>
    </row>
    <row r="210" spans="4:11" x14ac:dyDescent="0.25">
      <c r="D210" s="39"/>
      <c r="E210" s="42"/>
      <c r="F210" s="43"/>
      <c r="G210" s="38"/>
      <c r="I210" s="38"/>
      <c r="J210" s="39"/>
      <c r="K210" s="39"/>
    </row>
    <row r="211" spans="4:11" x14ac:dyDescent="0.25">
      <c r="D211" s="39"/>
      <c r="E211" s="42"/>
      <c r="F211" s="43"/>
      <c r="G211" s="38"/>
      <c r="I211" s="38"/>
      <c r="J211" s="39"/>
      <c r="K211" s="39"/>
    </row>
    <row r="212" spans="4:11" x14ac:dyDescent="0.25">
      <c r="D212" s="39"/>
      <c r="E212" s="42"/>
      <c r="F212" s="43"/>
      <c r="G212" s="38"/>
      <c r="I212" s="38"/>
      <c r="J212" s="39"/>
      <c r="K212" s="39"/>
    </row>
    <row r="213" spans="4:11" x14ac:dyDescent="0.25">
      <c r="D213" s="39"/>
      <c r="E213" s="42"/>
      <c r="F213" s="43"/>
      <c r="G213" s="38"/>
      <c r="I213" s="38"/>
      <c r="J213" s="39"/>
      <c r="K213" s="39"/>
    </row>
    <row r="214" spans="4:11" x14ac:dyDescent="0.25">
      <c r="D214" s="39"/>
      <c r="E214" s="42"/>
      <c r="F214" s="43"/>
      <c r="G214" s="38"/>
      <c r="I214" s="38"/>
      <c r="J214" s="39"/>
      <c r="K214" s="39"/>
    </row>
    <row r="215" spans="4:11" x14ac:dyDescent="0.25">
      <c r="D215" s="39"/>
      <c r="E215" s="42"/>
      <c r="F215" s="43"/>
      <c r="G215" s="38"/>
      <c r="I215" s="38"/>
      <c r="J215" s="39"/>
      <c r="K215" s="39"/>
    </row>
    <row r="216" spans="4:11" x14ac:dyDescent="0.25">
      <c r="D216" s="39"/>
      <c r="E216" s="42"/>
      <c r="F216" s="43"/>
      <c r="G216" s="38"/>
      <c r="I216" s="38"/>
      <c r="J216" s="39"/>
      <c r="K216" s="39"/>
    </row>
    <row r="217" spans="4:11" x14ac:dyDescent="0.25">
      <c r="D217" s="39"/>
      <c r="E217" s="42"/>
      <c r="F217" s="43"/>
      <c r="G217" s="38"/>
      <c r="I217" s="38"/>
      <c r="J217" s="39"/>
      <c r="K217" s="39"/>
    </row>
    <row r="218" spans="4:11" x14ac:dyDescent="0.25">
      <c r="D218" s="39"/>
      <c r="E218" s="42"/>
      <c r="F218" s="43"/>
      <c r="G218" s="38"/>
      <c r="I218" s="38"/>
      <c r="J218" s="39"/>
      <c r="K218" s="39"/>
    </row>
    <row r="219" spans="4:11" x14ac:dyDescent="0.25">
      <c r="D219" s="39"/>
      <c r="E219" s="42"/>
      <c r="F219" s="43"/>
      <c r="G219" s="38"/>
      <c r="I219" s="38"/>
      <c r="J219" s="39"/>
      <c r="K219" s="39"/>
    </row>
    <row r="220" spans="4:11" x14ac:dyDescent="0.25">
      <c r="D220" s="39"/>
      <c r="E220" s="42"/>
      <c r="F220" s="43"/>
      <c r="G220" s="38"/>
      <c r="I220" s="38"/>
      <c r="J220" s="39"/>
      <c r="K220" s="39"/>
    </row>
    <row r="221" spans="4:11" x14ac:dyDescent="0.25">
      <c r="D221" s="39"/>
      <c r="E221" s="42"/>
      <c r="F221" s="43"/>
      <c r="G221" s="38"/>
      <c r="I221" s="38"/>
      <c r="J221" s="39"/>
      <c r="K221" s="39"/>
    </row>
    <row r="222" spans="4:11" x14ac:dyDescent="0.25">
      <c r="D222" s="39"/>
      <c r="E222" s="42"/>
      <c r="F222" s="43"/>
      <c r="G222" s="38"/>
      <c r="I222" s="38"/>
      <c r="J222" s="39"/>
      <c r="K222" s="39"/>
    </row>
    <row r="223" spans="4:11" x14ac:dyDescent="0.25">
      <c r="D223" s="39"/>
      <c r="E223" s="42"/>
      <c r="F223" s="43"/>
      <c r="G223" s="38"/>
      <c r="I223" s="38"/>
      <c r="J223" s="39"/>
      <c r="K223" s="39"/>
    </row>
    <row r="224" spans="4:11" x14ac:dyDescent="0.25">
      <c r="D224" s="39"/>
      <c r="E224" s="42"/>
      <c r="F224" s="43"/>
      <c r="G224" s="38"/>
      <c r="I224" s="38"/>
      <c r="J224" s="39"/>
      <c r="K224" s="39"/>
    </row>
    <row r="225" spans="4:11" x14ac:dyDescent="0.25">
      <c r="D225" s="39"/>
      <c r="E225" s="42"/>
      <c r="F225" s="43"/>
      <c r="G225" s="38"/>
      <c r="I225" s="38"/>
      <c r="J225" s="39"/>
      <c r="K225" s="39"/>
    </row>
    <row r="226" spans="4:11" x14ac:dyDescent="0.25">
      <c r="D226" s="39"/>
      <c r="E226" s="42"/>
      <c r="F226" s="43"/>
      <c r="G226" s="38"/>
      <c r="I226" s="38"/>
      <c r="J226" s="39"/>
      <c r="K226" s="39"/>
    </row>
    <row r="227" spans="4:11" x14ac:dyDescent="0.25">
      <c r="D227" s="39"/>
      <c r="E227" s="42"/>
      <c r="F227" s="43"/>
      <c r="G227" s="38"/>
      <c r="I227" s="38"/>
      <c r="J227" s="39"/>
      <c r="K227" s="39"/>
    </row>
    <row r="228" spans="4:11" x14ac:dyDescent="0.25">
      <c r="D228" s="39"/>
      <c r="E228" s="42"/>
      <c r="F228" s="43"/>
      <c r="G228" s="38"/>
      <c r="I228" s="38"/>
      <c r="J228" s="39"/>
      <c r="K228" s="39"/>
    </row>
    <row r="229" spans="4:11" x14ac:dyDescent="0.25">
      <c r="D229" s="39"/>
      <c r="E229" s="42"/>
      <c r="F229" s="43"/>
      <c r="G229" s="38"/>
      <c r="I229" s="38"/>
      <c r="J229" s="39"/>
      <c r="K229" s="39"/>
    </row>
    <row r="230" spans="4:11" x14ac:dyDescent="0.25">
      <c r="D230" s="39"/>
      <c r="E230" s="42"/>
      <c r="F230" s="43"/>
      <c r="G230" s="38"/>
      <c r="I230" s="38"/>
      <c r="J230" s="39"/>
      <c r="K230" s="39"/>
    </row>
    <row r="231" spans="4:11" x14ac:dyDescent="0.25">
      <c r="D231" s="39"/>
      <c r="E231" s="42"/>
      <c r="F231" s="43"/>
      <c r="G231" s="38"/>
      <c r="I231" s="38"/>
      <c r="J231" s="39"/>
      <c r="K231" s="39"/>
    </row>
    <row r="232" spans="4:11" x14ac:dyDescent="0.25">
      <c r="D232" s="39"/>
      <c r="E232" s="42"/>
      <c r="F232" s="43"/>
      <c r="G232" s="38"/>
      <c r="I232" s="38"/>
      <c r="J232" s="39"/>
      <c r="K232" s="39"/>
    </row>
    <row r="233" spans="4:11" x14ac:dyDescent="0.25">
      <c r="D233" s="39"/>
      <c r="E233" s="42"/>
      <c r="F233" s="43"/>
      <c r="G233" s="38"/>
      <c r="I233" s="38"/>
      <c r="J233" s="39"/>
      <c r="K233" s="39"/>
    </row>
    <row r="234" spans="4:11" x14ac:dyDescent="0.25">
      <c r="D234" s="39"/>
      <c r="E234" s="42"/>
      <c r="F234" s="43"/>
      <c r="G234" s="38"/>
      <c r="I234" s="38"/>
      <c r="J234" s="39"/>
      <c r="K234" s="39"/>
    </row>
    <row r="235" spans="4:11" x14ac:dyDescent="0.25">
      <c r="D235" s="39"/>
      <c r="E235" s="42"/>
      <c r="F235" s="43"/>
      <c r="G235" s="38"/>
      <c r="I235" s="38"/>
      <c r="J235" s="39"/>
      <c r="K235" s="39"/>
    </row>
    <row r="236" spans="4:11" x14ac:dyDescent="0.25">
      <c r="D236" s="39"/>
      <c r="E236" s="42"/>
      <c r="F236" s="43"/>
      <c r="G236" s="38"/>
      <c r="I236" s="38"/>
      <c r="J236" s="39"/>
      <c r="K236" s="39"/>
    </row>
    <row r="237" spans="4:11" x14ac:dyDescent="0.25">
      <c r="D237" s="39"/>
      <c r="E237" s="42"/>
      <c r="F237" s="43"/>
      <c r="G237" s="38"/>
      <c r="I237" s="38"/>
      <c r="J237" s="39"/>
      <c r="K237" s="39"/>
    </row>
    <row r="238" spans="4:11" x14ac:dyDescent="0.25">
      <c r="D238" s="39"/>
      <c r="E238" s="42"/>
      <c r="F238" s="43"/>
      <c r="G238" s="38"/>
      <c r="I238" s="38"/>
      <c r="J238" s="39"/>
      <c r="K238" s="39"/>
    </row>
    <row r="239" spans="4:11" x14ac:dyDescent="0.25">
      <c r="D239" s="39"/>
      <c r="E239" s="42"/>
      <c r="F239" s="43"/>
      <c r="G239" s="38"/>
      <c r="I239" s="38"/>
      <c r="J239" s="39"/>
      <c r="K239" s="39"/>
    </row>
    <row r="240" spans="4:11" x14ac:dyDescent="0.25">
      <c r="D240" s="39"/>
      <c r="E240" s="42"/>
      <c r="F240" s="43"/>
      <c r="G240" s="38"/>
      <c r="I240" s="38"/>
      <c r="J240" s="39"/>
      <c r="K240" s="39"/>
    </row>
    <row r="241" spans="4:11" x14ac:dyDescent="0.25">
      <c r="D241" s="39"/>
      <c r="E241" s="42"/>
      <c r="F241" s="43"/>
      <c r="G241" s="38"/>
      <c r="I241" s="38"/>
      <c r="J241" s="39"/>
      <c r="K241" s="39"/>
    </row>
    <row r="242" spans="4:11" x14ac:dyDescent="0.25">
      <c r="D242" s="39"/>
      <c r="E242" s="42"/>
      <c r="F242" s="43"/>
      <c r="G242" s="38"/>
      <c r="I242" s="38"/>
      <c r="J242" s="39"/>
      <c r="K242" s="39"/>
    </row>
    <row r="243" spans="4:11" x14ac:dyDescent="0.25">
      <c r="D243" s="39"/>
      <c r="E243" s="42"/>
      <c r="F243" s="43"/>
      <c r="G243" s="38"/>
      <c r="I243" s="38"/>
      <c r="J243" s="39"/>
      <c r="K243" s="39"/>
    </row>
    <row r="244" spans="4:11" x14ac:dyDescent="0.25">
      <c r="D244" s="39"/>
      <c r="E244" s="42"/>
      <c r="F244" s="43"/>
      <c r="G244" s="38"/>
      <c r="I244" s="38"/>
      <c r="J244" s="39"/>
      <c r="K244" s="39"/>
    </row>
    <row r="245" spans="4:11" x14ac:dyDescent="0.25">
      <c r="D245" s="39"/>
      <c r="E245" s="42"/>
      <c r="F245" s="43"/>
      <c r="G245" s="38"/>
      <c r="I245" s="38"/>
      <c r="J245" s="39"/>
      <c r="K245" s="39"/>
    </row>
    <row r="246" spans="4:11" x14ac:dyDescent="0.25">
      <c r="D246" s="39"/>
      <c r="E246" s="42"/>
      <c r="F246" s="43"/>
      <c r="G246" s="38"/>
      <c r="I246" s="38"/>
      <c r="J246" s="39"/>
      <c r="K246" s="39"/>
    </row>
    <row r="247" spans="4:11" x14ac:dyDescent="0.25">
      <c r="D247" s="39"/>
      <c r="E247" s="42"/>
      <c r="F247" s="43"/>
      <c r="G247" s="38"/>
      <c r="I247" s="38"/>
      <c r="J247" s="39"/>
      <c r="K247" s="39"/>
    </row>
    <row r="248" spans="4:11" x14ac:dyDescent="0.25">
      <c r="D248" s="39"/>
      <c r="E248" s="42"/>
      <c r="F248" s="43"/>
      <c r="G248" s="38"/>
      <c r="I248" s="38"/>
      <c r="J248" s="39"/>
      <c r="K248" s="39"/>
    </row>
    <row r="249" spans="4:11" x14ac:dyDescent="0.25">
      <c r="D249" s="39"/>
      <c r="E249" s="42"/>
      <c r="F249" s="43"/>
      <c r="G249" s="38"/>
      <c r="I249" s="38"/>
      <c r="J249" s="39"/>
      <c r="K249" s="39"/>
    </row>
    <row r="250" spans="4:11" x14ac:dyDescent="0.25">
      <c r="D250" s="39"/>
      <c r="E250" s="42"/>
      <c r="F250" s="43"/>
      <c r="G250" s="38"/>
      <c r="I250" s="38"/>
      <c r="J250" s="39"/>
      <c r="K250" s="39"/>
    </row>
    <row r="251" spans="4:11" x14ac:dyDescent="0.25">
      <c r="D251" s="39"/>
      <c r="E251" s="42"/>
      <c r="F251" s="43"/>
      <c r="G251" s="38"/>
      <c r="I251" s="38"/>
      <c r="J251" s="39"/>
      <c r="K251" s="39"/>
    </row>
    <row r="252" spans="4:11" x14ac:dyDescent="0.25">
      <c r="D252" s="39"/>
      <c r="E252" s="42"/>
      <c r="F252" s="43"/>
      <c r="G252" s="38"/>
      <c r="I252" s="38"/>
      <c r="J252" s="39"/>
      <c r="K252" s="39"/>
    </row>
    <row r="253" spans="4:11" x14ac:dyDescent="0.25">
      <c r="D253" s="39"/>
      <c r="E253" s="42"/>
      <c r="F253" s="43"/>
      <c r="G253" s="38"/>
      <c r="I253" s="38"/>
      <c r="J253" s="39"/>
      <c r="K253" s="39"/>
    </row>
    <row r="254" spans="4:11" x14ac:dyDescent="0.25">
      <c r="D254" s="39"/>
      <c r="E254" s="42"/>
      <c r="F254" s="43"/>
      <c r="G254" s="38"/>
      <c r="I254" s="38"/>
      <c r="J254" s="39"/>
      <c r="K254" s="39"/>
    </row>
    <row r="255" spans="4:11" x14ac:dyDescent="0.25">
      <c r="D255" s="39"/>
      <c r="E255" s="42"/>
      <c r="F255" s="43"/>
      <c r="G255" s="38"/>
      <c r="I255" s="38"/>
      <c r="J255" s="39"/>
      <c r="K255" s="39"/>
    </row>
    <row r="256" spans="4:11" x14ac:dyDescent="0.25">
      <c r="D256" s="39"/>
      <c r="E256" s="42"/>
      <c r="F256" s="43"/>
      <c r="G256" s="38"/>
      <c r="I256" s="38"/>
      <c r="J256" s="39"/>
      <c r="K256" s="39"/>
    </row>
    <row r="257" spans="4:11" x14ac:dyDescent="0.25">
      <c r="D257" s="39"/>
      <c r="E257" s="42"/>
      <c r="F257" s="43"/>
      <c r="G257" s="38"/>
      <c r="I257" s="38"/>
      <c r="J257" s="39"/>
      <c r="K257" s="39"/>
    </row>
    <row r="258" spans="4:11" x14ac:dyDescent="0.25">
      <c r="D258" s="39"/>
      <c r="E258" s="42"/>
      <c r="F258" s="43"/>
      <c r="G258" s="38"/>
      <c r="I258" s="38"/>
      <c r="J258" s="39"/>
      <c r="K258" s="39"/>
    </row>
    <row r="259" spans="4:11" x14ac:dyDescent="0.25">
      <c r="D259" s="39"/>
      <c r="E259" s="42"/>
      <c r="F259" s="43"/>
      <c r="G259" s="38"/>
      <c r="I259" s="38"/>
      <c r="J259" s="39"/>
      <c r="K259" s="39"/>
    </row>
    <row r="260" spans="4:11" x14ac:dyDescent="0.25">
      <c r="D260" s="39"/>
      <c r="E260" s="42"/>
      <c r="F260" s="43"/>
      <c r="G260" s="38"/>
      <c r="I260" s="38"/>
      <c r="J260" s="39"/>
      <c r="K260" s="39"/>
    </row>
    <row r="261" spans="4:11" x14ac:dyDescent="0.25">
      <c r="D261" s="39"/>
      <c r="E261" s="42"/>
      <c r="F261" s="43"/>
      <c r="G261" s="38"/>
      <c r="I261" s="38"/>
      <c r="J261" s="39"/>
      <c r="K261" s="39"/>
    </row>
    <row r="262" spans="4:11" x14ac:dyDescent="0.25">
      <c r="D262" s="39"/>
      <c r="E262" s="42"/>
      <c r="F262" s="43"/>
      <c r="G262" s="38"/>
      <c r="I262" s="38"/>
      <c r="J262" s="39"/>
      <c r="K262" s="39"/>
    </row>
    <row r="263" spans="4:11" x14ac:dyDescent="0.25">
      <c r="D263" s="39"/>
      <c r="E263" s="42"/>
      <c r="F263" s="43"/>
      <c r="G263" s="38"/>
      <c r="I263" s="38"/>
      <c r="J263" s="39"/>
      <c r="K263" s="39"/>
    </row>
    <row r="264" spans="4:11" x14ac:dyDescent="0.25">
      <c r="D264" s="39"/>
      <c r="E264" s="42"/>
      <c r="F264" s="43"/>
      <c r="G264" s="38"/>
      <c r="I264" s="38"/>
      <c r="J264" s="39"/>
      <c r="K264" s="39"/>
    </row>
    <row r="265" spans="4:11" x14ac:dyDescent="0.25">
      <c r="D265" s="39"/>
      <c r="E265" s="42"/>
      <c r="F265" s="43"/>
      <c r="G265" s="38"/>
      <c r="I265" s="38"/>
      <c r="J265" s="39"/>
      <c r="K265" s="39"/>
    </row>
    <row r="266" spans="4:11" x14ac:dyDescent="0.25">
      <c r="D266" s="39"/>
      <c r="E266" s="42"/>
      <c r="F266" s="43"/>
      <c r="G266" s="38"/>
      <c r="I266" s="38"/>
      <c r="J266" s="39"/>
      <c r="K266" s="39"/>
    </row>
    <row r="267" spans="4:11" x14ac:dyDescent="0.25">
      <c r="D267" s="39"/>
      <c r="E267" s="42"/>
      <c r="F267" s="43"/>
      <c r="G267" s="38"/>
      <c r="I267" s="38"/>
      <c r="J267" s="39"/>
      <c r="K267" s="39"/>
    </row>
    <row r="268" spans="4:11" x14ac:dyDescent="0.25">
      <c r="D268" s="39"/>
      <c r="E268" s="42"/>
      <c r="F268" s="43"/>
      <c r="G268" s="38"/>
      <c r="I268" s="38"/>
      <c r="J268" s="39"/>
      <c r="K268" s="39"/>
    </row>
    <row r="269" spans="4:11" x14ac:dyDescent="0.25">
      <c r="D269" s="39"/>
      <c r="E269" s="42"/>
      <c r="F269" s="43"/>
      <c r="G269" s="38"/>
      <c r="I269" s="38"/>
      <c r="J269" s="39"/>
      <c r="K269" s="39"/>
    </row>
    <row r="270" spans="4:11" x14ac:dyDescent="0.25">
      <c r="D270" s="39"/>
      <c r="E270" s="42"/>
      <c r="F270" s="43"/>
      <c r="G270" s="38"/>
      <c r="I270" s="38"/>
      <c r="J270" s="39"/>
      <c r="K270" s="39"/>
    </row>
    <row r="271" spans="4:11" x14ac:dyDescent="0.25">
      <c r="D271" s="39"/>
      <c r="E271" s="42"/>
      <c r="F271" s="43"/>
      <c r="G271" s="38"/>
      <c r="I271" s="38"/>
      <c r="J271" s="39"/>
      <c r="K271" s="39"/>
    </row>
    <row r="272" spans="4:11" x14ac:dyDescent="0.25">
      <c r="D272" s="39"/>
      <c r="E272" s="42"/>
      <c r="F272" s="43"/>
      <c r="G272" s="38"/>
      <c r="I272" s="38"/>
      <c r="J272" s="39"/>
      <c r="K272" s="39"/>
    </row>
    <row r="273" spans="4:11" x14ac:dyDescent="0.25">
      <c r="D273" s="39"/>
      <c r="E273" s="42"/>
      <c r="F273" s="43"/>
      <c r="G273" s="38"/>
      <c r="I273" s="38"/>
      <c r="J273" s="39"/>
      <c r="K273" s="39"/>
    </row>
    <row r="274" spans="4:11" x14ac:dyDescent="0.25">
      <c r="D274" s="39"/>
      <c r="E274" s="42"/>
      <c r="F274" s="43"/>
      <c r="G274" s="38"/>
      <c r="I274" s="38"/>
      <c r="J274" s="39"/>
      <c r="K274" s="39"/>
    </row>
    <row r="275" spans="4:11" x14ac:dyDescent="0.25">
      <c r="D275" s="39"/>
      <c r="E275" s="42"/>
      <c r="F275" s="43"/>
      <c r="G275" s="38"/>
      <c r="I275" s="38"/>
      <c r="J275" s="39"/>
      <c r="K275" s="39"/>
    </row>
    <row r="276" spans="4:11" x14ac:dyDescent="0.25">
      <c r="D276" s="39"/>
      <c r="E276" s="42"/>
      <c r="F276" s="43"/>
      <c r="G276" s="38"/>
      <c r="I276" s="38"/>
      <c r="J276" s="39"/>
      <c r="K276" s="39"/>
    </row>
    <row r="277" spans="4:11" x14ac:dyDescent="0.25">
      <c r="D277" s="39"/>
      <c r="E277" s="42"/>
      <c r="F277" s="43"/>
      <c r="G277" s="38"/>
      <c r="I277" s="38"/>
      <c r="J277" s="39"/>
      <c r="K277" s="39"/>
    </row>
    <row r="278" spans="4:11" x14ac:dyDescent="0.25">
      <c r="D278" s="39"/>
      <c r="E278" s="42"/>
      <c r="F278" s="43"/>
      <c r="G278" s="38"/>
      <c r="I278" s="38"/>
      <c r="J278" s="39"/>
      <c r="K278" s="39"/>
    </row>
    <row r="279" spans="4:11" x14ac:dyDescent="0.25">
      <c r="D279" s="39"/>
      <c r="E279" s="42"/>
      <c r="F279" s="43"/>
      <c r="G279" s="38"/>
      <c r="I279" s="38"/>
      <c r="J279" s="39"/>
      <c r="K279" s="39"/>
    </row>
    <row r="280" spans="4:11" x14ac:dyDescent="0.25">
      <c r="D280" s="39"/>
      <c r="E280" s="42"/>
      <c r="F280" s="43"/>
      <c r="G280" s="38"/>
      <c r="I280" s="38"/>
      <c r="J280" s="39"/>
      <c r="K280" s="39"/>
    </row>
    <row r="281" spans="4:11" x14ac:dyDescent="0.25">
      <c r="D281" s="39"/>
      <c r="E281" s="42"/>
      <c r="F281" s="43"/>
      <c r="G281" s="38"/>
      <c r="I281" s="38"/>
      <c r="J281" s="39"/>
      <c r="K281" s="39"/>
    </row>
    <row r="282" spans="4:11" x14ac:dyDescent="0.25">
      <c r="D282" s="39"/>
      <c r="E282" s="42"/>
      <c r="F282" s="43"/>
      <c r="G282" s="38"/>
      <c r="I282" s="38"/>
      <c r="J282" s="39"/>
      <c r="K282" s="39"/>
    </row>
    <row r="283" spans="4:11" x14ac:dyDescent="0.25">
      <c r="D283" s="39"/>
      <c r="E283" s="42"/>
      <c r="F283" s="43"/>
      <c r="G283" s="38"/>
      <c r="I283" s="38"/>
      <c r="J283" s="39"/>
      <c r="K283" s="39"/>
    </row>
    <row r="284" spans="4:11" x14ac:dyDescent="0.25">
      <c r="D284" s="39"/>
      <c r="E284" s="42"/>
      <c r="F284" s="43"/>
      <c r="G284" s="38"/>
      <c r="I284" s="38"/>
      <c r="J284" s="39"/>
      <c r="K284" s="39"/>
    </row>
    <row r="285" spans="4:11" x14ac:dyDescent="0.25">
      <c r="D285" s="39"/>
      <c r="E285" s="42"/>
      <c r="F285" s="43"/>
      <c r="G285" s="38"/>
      <c r="I285" s="38"/>
      <c r="J285" s="39"/>
      <c r="K285" s="39"/>
    </row>
    <row r="286" spans="4:11" x14ac:dyDescent="0.25">
      <c r="D286" s="39"/>
      <c r="E286" s="42"/>
      <c r="F286" s="43"/>
      <c r="G286" s="38"/>
      <c r="I286" s="38"/>
      <c r="J286" s="39"/>
      <c r="K286" s="39"/>
    </row>
    <row r="287" spans="4:11" x14ac:dyDescent="0.25">
      <c r="D287" s="39"/>
      <c r="E287" s="42"/>
      <c r="F287" s="43"/>
      <c r="G287" s="38"/>
      <c r="I287" s="38"/>
      <c r="J287" s="39"/>
      <c r="K287" s="39"/>
    </row>
    <row r="288" spans="4:11" x14ac:dyDescent="0.25">
      <c r="D288" s="39"/>
      <c r="E288" s="42"/>
      <c r="F288" s="43"/>
      <c r="G288" s="38"/>
      <c r="I288" s="38"/>
      <c r="J288" s="39"/>
      <c r="K288" s="39"/>
    </row>
    <row r="289" spans="4:11" x14ac:dyDescent="0.25">
      <c r="D289" s="39"/>
      <c r="E289" s="42"/>
      <c r="F289" s="43"/>
      <c r="G289" s="38"/>
      <c r="I289" s="38"/>
      <c r="J289" s="39"/>
      <c r="K289" s="39"/>
    </row>
    <row r="290" spans="4:11" x14ac:dyDescent="0.25">
      <c r="D290" s="39"/>
      <c r="E290" s="42"/>
      <c r="F290" s="43"/>
      <c r="G290" s="38"/>
      <c r="I290" s="38"/>
      <c r="J290" s="39"/>
      <c r="K290" s="39"/>
    </row>
    <row r="291" spans="4:11" x14ac:dyDescent="0.25">
      <c r="D291" s="39"/>
      <c r="E291" s="42"/>
      <c r="F291" s="43"/>
      <c r="G291" s="38"/>
      <c r="I291" s="38"/>
      <c r="J291" s="39"/>
      <c r="K291" s="39"/>
    </row>
    <row r="292" spans="4:11" x14ac:dyDescent="0.25">
      <c r="D292" s="39"/>
      <c r="E292" s="42"/>
      <c r="F292" s="43"/>
      <c r="G292" s="38"/>
      <c r="I292" s="38"/>
      <c r="J292" s="39"/>
      <c r="K292" s="39"/>
    </row>
    <row r="293" spans="4:11" x14ac:dyDescent="0.25">
      <c r="D293" s="39"/>
      <c r="E293" s="42"/>
      <c r="F293" s="43"/>
      <c r="G293" s="38"/>
      <c r="I293" s="38"/>
      <c r="J293" s="39"/>
      <c r="K293" s="39"/>
    </row>
    <row r="294" spans="4:11" x14ac:dyDescent="0.25">
      <c r="D294" s="39"/>
      <c r="E294" s="42"/>
      <c r="F294" s="43"/>
      <c r="G294" s="38"/>
      <c r="I294" s="38"/>
      <c r="J294" s="39"/>
      <c r="K294" s="39"/>
    </row>
    <row r="295" spans="4:11" x14ac:dyDescent="0.25">
      <c r="D295" s="39"/>
      <c r="E295" s="42"/>
      <c r="F295" s="43"/>
      <c r="G295" s="38"/>
      <c r="I295" s="38"/>
      <c r="J295" s="39"/>
      <c r="K295" s="39"/>
    </row>
    <row r="296" spans="4:11" x14ac:dyDescent="0.25">
      <c r="D296" s="39"/>
      <c r="E296" s="42"/>
      <c r="F296" s="43"/>
      <c r="G296" s="38"/>
      <c r="I296" s="38"/>
      <c r="J296" s="39"/>
      <c r="K296" s="39"/>
    </row>
    <row r="297" spans="4:11" x14ac:dyDescent="0.25">
      <c r="D297" s="39"/>
      <c r="E297" s="42"/>
      <c r="F297" s="43"/>
      <c r="G297" s="38"/>
      <c r="I297" s="38"/>
      <c r="J297" s="39"/>
      <c r="K297" s="39"/>
    </row>
    <row r="298" spans="4:11" x14ac:dyDescent="0.25">
      <c r="D298" s="39"/>
      <c r="E298" s="42"/>
      <c r="F298" s="43"/>
      <c r="G298" s="38"/>
      <c r="I298" s="38"/>
      <c r="J298" s="39"/>
      <c r="K298" s="39"/>
    </row>
    <row r="299" spans="4:11" x14ac:dyDescent="0.25">
      <c r="D299" s="39"/>
      <c r="E299" s="42"/>
      <c r="F299" s="43"/>
      <c r="G299" s="38"/>
      <c r="I299" s="38"/>
      <c r="J299" s="39"/>
      <c r="K299" s="39"/>
    </row>
    <row r="300" spans="4:11" x14ac:dyDescent="0.25">
      <c r="D300" s="39"/>
      <c r="E300" s="42"/>
      <c r="F300" s="43"/>
      <c r="G300" s="38"/>
      <c r="I300" s="38"/>
      <c r="J300" s="39"/>
      <c r="K300" s="39"/>
    </row>
    <row r="301" spans="4:11" x14ac:dyDescent="0.25">
      <c r="D301" s="39"/>
      <c r="E301" s="42"/>
      <c r="F301" s="43"/>
      <c r="G301" s="38"/>
      <c r="I301" s="38"/>
      <c r="J301" s="39"/>
      <c r="K301" s="39"/>
    </row>
    <row r="302" spans="4:11" x14ac:dyDescent="0.25">
      <c r="D302" s="39"/>
      <c r="E302" s="42"/>
      <c r="F302" s="43"/>
      <c r="G302" s="38"/>
      <c r="I302" s="38"/>
      <c r="J302" s="39"/>
      <c r="K302" s="39"/>
    </row>
    <row r="303" spans="4:11" x14ac:dyDescent="0.25">
      <c r="D303" s="39"/>
      <c r="E303" s="42"/>
      <c r="F303" s="43"/>
      <c r="G303" s="38"/>
      <c r="I303" s="38"/>
      <c r="J303" s="39"/>
      <c r="K303" s="39"/>
    </row>
    <row r="304" spans="4:11" x14ac:dyDescent="0.25">
      <c r="D304" s="39"/>
      <c r="E304" s="42"/>
      <c r="F304" s="43"/>
      <c r="G304" s="38"/>
      <c r="I304" s="38"/>
      <c r="J304" s="39"/>
      <c r="K304" s="39"/>
    </row>
    <row r="305" spans="4:11" x14ac:dyDescent="0.25">
      <c r="D305" s="39"/>
      <c r="E305" s="42"/>
      <c r="F305" s="43"/>
      <c r="G305" s="38"/>
      <c r="I305" s="38"/>
      <c r="J305" s="39"/>
      <c r="K305" s="39"/>
    </row>
    <row r="306" spans="4:11" x14ac:dyDescent="0.25">
      <c r="D306" s="39"/>
      <c r="E306" s="42"/>
      <c r="F306" s="43"/>
      <c r="G306" s="38"/>
      <c r="I306" s="38"/>
      <c r="J306" s="39"/>
      <c r="K306" s="39"/>
    </row>
    <row r="307" spans="4:11" x14ac:dyDescent="0.25">
      <c r="D307" s="39"/>
      <c r="E307" s="42"/>
      <c r="F307" s="43"/>
      <c r="G307" s="38"/>
      <c r="I307" s="38"/>
      <c r="J307" s="39"/>
      <c r="K307" s="39"/>
    </row>
    <row r="308" spans="4:11" x14ac:dyDescent="0.25">
      <c r="D308" s="39"/>
      <c r="E308" s="42"/>
      <c r="F308" s="43"/>
      <c r="G308" s="38"/>
      <c r="I308" s="38"/>
      <c r="J308" s="39"/>
      <c r="K308" s="39"/>
    </row>
    <row r="309" spans="4:11" x14ac:dyDescent="0.25">
      <c r="D309" s="39"/>
      <c r="E309" s="42"/>
      <c r="F309" s="43"/>
      <c r="G309" s="38"/>
      <c r="I309" s="38"/>
      <c r="J309" s="39"/>
      <c r="K309" s="39"/>
    </row>
    <row r="310" spans="4:11" x14ac:dyDescent="0.25">
      <c r="D310" s="39"/>
      <c r="E310" s="42"/>
      <c r="F310" s="43"/>
      <c r="G310" s="38"/>
      <c r="I310" s="38"/>
      <c r="J310" s="39"/>
      <c r="K310" s="39"/>
    </row>
    <row r="311" spans="4:11" x14ac:dyDescent="0.25">
      <c r="D311" s="39"/>
      <c r="E311" s="42"/>
      <c r="F311" s="43"/>
      <c r="G311" s="38"/>
      <c r="I311" s="38"/>
      <c r="J311" s="39"/>
      <c r="K311" s="39"/>
    </row>
    <row r="312" spans="4:11" x14ac:dyDescent="0.25">
      <c r="D312" s="39"/>
      <c r="E312" s="42"/>
      <c r="F312" s="43"/>
      <c r="G312" s="38"/>
      <c r="I312" s="38"/>
      <c r="J312" s="39"/>
      <c r="K312" s="39"/>
    </row>
    <row r="313" spans="4:11" x14ac:dyDescent="0.25">
      <c r="D313" s="39"/>
      <c r="E313" s="42"/>
      <c r="F313" s="43"/>
      <c r="G313" s="38"/>
      <c r="I313" s="38"/>
      <c r="J313" s="39"/>
      <c r="K313" s="39"/>
    </row>
    <row r="314" spans="4:11" x14ac:dyDescent="0.25">
      <c r="D314" s="39"/>
      <c r="E314" s="42"/>
      <c r="F314" s="43"/>
      <c r="G314" s="38"/>
      <c r="I314" s="38"/>
      <c r="J314" s="39"/>
      <c r="K314" s="39"/>
    </row>
    <row r="315" spans="4:11" x14ac:dyDescent="0.25">
      <c r="D315" s="39"/>
      <c r="E315" s="42"/>
      <c r="F315" s="43"/>
      <c r="G315" s="38"/>
      <c r="I315" s="38"/>
      <c r="J315" s="39"/>
      <c r="K315" s="39"/>
    </row>
    <row r="316" spans="4:11" x14ac:dyDescent="0.25">
      <c r="D316" s="39"/>
      <c r="E316" s="42"/>
      <c r="F316" s="43"/>
      <c r="G316" s="38"/>
      <c r="I316" s="38"/>
      <c r="J316" s="39"/>
      <c r="K316" s="39"/>
    </row>
    <row r="317" spans="4:11" x14ac:dyDescent="0.25">
      <c r="D317" s="39"/>
      <c r="E317" s="42"/>
      <c r="F317" s="43"/>
      <c r="G317" s="38"/>
      <c r="I317" s="38"/>
      <c r="J317" s="39"/>
      <c r="K317" s="39"/>
    </row>
    <row r="318" spans="4:11" x14ac:dyDescent="0.25">
      <c r="D318" s="39"/>
      <c r="E318" s="42"/>
      <c r="F318" s="43"/>
      <c r="G318" s="38"/>
      <c r="I318" s="38"/>
      <c r="J318" s="39"/>
      <c r="K318" s="39"/>
    </row>
    <row r="319" spans="4:11" x14ac:dyDescent="0.25">
      <c r="D319" s="39"/>
      <c r="E319" s="42"/>
      <c r="F319" s="43"/>
      <c r="G319" s="38"/>
      <c r="I319" s="38"/>
      <c r="J319" s="39"/>
      <c r="K319" s="39"/>
    </row>
    <row r="320" spans="4:11" x14ac:dyDescent="0.25">
      <c r="D320" s="39"/>
      <c r="E320" s="42"/>
      <c r="F320" s="43"/>
      <c r="G320" s="38"/>
      <c r="I320" s="38"/>
      <c r="J320" s="39"/>
      <c r="K320" s="39"/>
    </row>
    <row r="321" spans="4:11" x14ac:dyDescent="0.25">
      <c r="D321" s="39"/>
      <c r="E321" s="42"/>
      <c r="F321" s="43"/>
      <c r="G321" s="38"/>
      <c r="I321" s="38"/>
      <c r="J321" s="39"/>
      <c r="K321" s="39"/>
    </row>
    <row r="322" spans="4:11" x14ac:dyDescent="0.25">
      <c r="D322" s="39"/>
      <c r="E322" s="42"/>
      <c r="F322" s="43"/>
      <c r="G322" s="38"/>
      <c r="I322" s="38"/>
      <c r="J322" s="39"/>
      <c r="K322" s="39"/>
    </row>
    <row r="323" spans="4:11" x14ac:dyDescent="0.25">
      <c r="D323" s="39"/>
      <c r="E323" s="42"/>
      <c r="F323" s="43"/>
      <c r="G323" s="38"/>
      <c r="I323" s="38"/>
      <c r="J323" s="39"/>
      <c r="K323" s="39"/>
    </row>
    <row r="324" spans="4:11" x14ac:dyDescent="0.25">
      <c r="D324" s="39"/>
      <c r="E324" s="42"/>
      <c r="F324" s="43"/>
      <c r="G324" s="38"/>
      <c r="I324" s="38"/>
      <c r="J324" s="39"/>
      <c r="K324" s="39"/>
    </row>
    <row r="325" spans="4:11" x14ac:dyDescent="0.25">
      <c r="D325" s="39"/>
      <c r="E325" s="42"/>
      <c r="F325" s="43"/>
      <c r="G325" s="38"/>
      <c r="I325" s="38"/>
      <c r="J325" s="39"/>
      <c r="K325" s="39"/>
    </row>
    <row r="326" spans="4:11" x14ac:dyDescent="0.25">
      <c r="D326" s="39"/>
      <c r="E326" s="42"/>
      <c r="F326" s="43"/>
      <c r="G326" s="38"/>
      <c r="I326" s="38"/>
      <c r="J326" s="39"/>
      <c r="K326" s="39"/>
    </row>
    <row r="327" spans="4:11" x14ac:dyDescent="0.25">
      <c r="D327" s="39"/>
      <c r="E327" s="42"/>
      <c r="F327" s="43"/>
      <c r="G327" s="38"/>
      <c r="I327" s="38"/>
      <c r="J327" s="39"/>
      <c r="K327" s="39"/>
    </row>
    <row r="328" spans="4:11" x14ac:dyDescent="0.25">
      <c r="D328" s="39"/>
      <c r="E328" s="42"/>
      <c r="F328" s="43"/>
      <c r="G328" s="38"/>
      <c r="I328" s="38"/>
      <c r="J328" s="39"/>
      <c r="K328" s="39"/>
    </row>
    <row r="329" spans="4:11" x14ac:dyDescent="0.25">
      <c r="D329" s="39"/>
      <c r="E329" s="42"/>
      <c r="F329" s="43"/>
      <c r="G329" s="38"/>
      <c r="I329" s="38"/>
      <c r="J329" s="39"/>
      <c r="K329" s="39"/>
    </row>
    <row r="330" spans="4:11" x14ac:dyDescent="0.25">
      <c r="D330" s="39"/>
      <c r="E330" s="42"/>
      <c r="F330" s="43"/>
      <c r="G330" s="38"/>
      <c r="I330" s="38"/>
      <c r="J330" s="39"/>
      <c r="K330" s="39"/>
    </row>
    <row r="331" spans="4:11" x14ac:dyDescent="0.25">
      <c r="D331" s="39"/>
      <c r="E331" s="42"/>
      <c r="F331" s="43"/>
      <c r="G331" s="38"/>
      <c r="I331" s="38"/>
      <c r="J331" s="39"/>
      <c r="K331" s="39"/>
    </row>
    <row r="332" spans="4:11" x14ac:dyDescent="0.25">
      <c r="D332" s="39"/>
      <c r="E332" s="42"/>
      <c r="F332" s="43"/>
      <c r="G332" s="38"/>
      <c r="I332" s="38"/>
      <c r="J332" s="39"/>
      <c r="K332" s="39"/>
    </row>
    <row r="333" spans="4:11" x14ac:dyDescent="0.25">
      <c r="D333" s="39"/>
      <c r="E333" s="42"/>
      <c r="F333" s="43"/>
      <c r="G333" s="38"/>
      <c r="I333" s="38"/>
      <c r="J333" s="39"/>
      <c r="K333" s="39"/>
    </row>
    <row r="334" spans="4:11" x14ac:dyDescent="0.25">
      <c r="D334" s="39"/>
      <c r="E334" s="42"/>
      <c r="F334" s="43"/>
      <c r="G334" s="38"/>
      <c r="I334" s="38"/>
      <c r="J334" s="39"/>
      <c r="K334" s="39"/>
    </row>
    <row r="335" spans="4:11" x14ac:dyDescent="0.25">
      <c r="D335" s="39"/>
      <c r="E335" s="42"/>
      <c r="F335" s="43"/>
      <c r="G335" s="38"/>
      <c r="I335" s="38"/>
      <c r="J335" s="39"/>
      <c r="K335" s="39"/>
    </row>
    <row r="336" spans="4:11" x14ac:dyDescent="0.25">
      <c r="D336" s="39"/>
      <c r="E336" s="42"/>
      <c r="F336" s="43"/>
      <c r="G336" s="38"/>
      <c r="I336" s="38"/>
      <c r="J336" s="39"/>
      <c r="K336" s="39"/>
    </row>
    <row r="337" spans="4:11" x14ac:dyDescent="0.25">
      <c r="D337" s="39"/>
      <c r="E337" s="42"/>
      <c r="F337" s="43"/>
      <c r="G337" s="38"/>
      <c r="I337" s="38"/>
      <c r="J337" s="39"/>
      <c r="K337" s="39"/>
    </row>
    <row r="338" spans="4:11" x14ac:dyDescent="0.25">
      <c r="D338" s="39"/>
      <c r="E338" s="42"/>
      <c r="F338" s="43"/>
      <c r="G338" s="38"/>
      <c r="I338" s="38"/>
      <c r="J338" s="39"/>
      <c r="K338" s="39"/>
    </row>
    <row r="339" spans="4:11" x14ac:dyDescent="0.25">
      <c r="D339" s="39"/>
      <c r="E339" s="42"/>
      <c r="F339" s="43"/>
      <c r="G339" s="38"/>
      <c r="I339" s="38"/>
      <c r="J339" s="39"/>
      <c r="K339" s="39"/>
    </row>
    <row r="340" spans="4:11" x14ac:dyDescent="0.25">
      <c r="D340" s="39"/>
      <c r="E340" s="42"/>
      <c r="F340" s="43"/>
      <c r="G340" s="38"/>
      <c r="I340" s="38"/>
      <c r="J340" s="39"/>
      <c r="K340" s="39"/>
    </row>
    <row r="341" spans="4:11" x14ac:dyDescent="0.25">
      <c r="D341" s="39"/>
      <c r="E341" s="42"/>
      <c r="F341" s="43"/>
      <c r="G341" s="38"/>
      <c r="I341" s="38"/>
      <c r="J341" s="39"/>
      <c r="K341" s="39"/>
    </row>
    <row r="342" spans="4:11" x14ac:dyDescent="0.25">
      <c r="D342" s="39"/>
      <c r="E342" s="42"/>
      <c r="F342" s="43"/>
      <c r="G342" s="38"/>
      <c r="I342" s="38"/>
      <c r="J342" s="39"/>
      <c r="K342" s="39"/>
    </row>
    <row r="343" spans="4:11" x14ac:dyDescent="0.25">
      <c r="D343" s="39"/>
      <c r="E343" s="42"/>
      <c r="F343" s="43"/>
      <c r="G343" s="38"/>
      <c r="I343" s="38"/>
      <c r="J343" s="39"/>
      <c r="K343" s="39"/>
    </row>
    <row r="344" spans="4:11" x14ac:dyDescent="0.25">
      <c r="D344" s="39"/>
      <c r="E344" s="42"/>
      <c r="F344" s="43"/>
      <c r="G344" s="38"/>
      <c r="I344" s="38"/>
      <c r="J344" s="39"/>
      <c r="K344" s="39"/>
    </row>
    <row r="345" spans="4:11" x14ac:dyDescent="0.25">
      <c r="D345" s="39"/>
      <c r="E345" s="42"/>
      <c r="F345" s="43"/>
      <c r="G345" s="38"/>
      <c r="I345" s="38"/>
      <c r="J345" s="39"/>
      <c r="K345" s="39"/>
    </row>
    <row r="346" spans="4:11" x14ac:dyDescent="0.25">
      <c r="D346" s="39"/>
      <c r="E346" s="42"/>
      <c r="F346" s="43"/>
      <c r="G346" s="38"/>
      <c r="I346" s="38"/>
      <c r="J346" s="39"/>
      <c r="K346" s="39"/>
    </row>
    <row r="347" spans="4:11" x14ac:dyDescent="0.25">
      <c r="D347" s="39"/>
      <c r="E347" s="42"/>
      <c r="F347" s="43"/>
      <c r="G347" s="38"/>
      <c r="I347" s="38"/>
      <c r="J347" s="39"/>
      <c r="K347" s="39"/>
    </row>
    <row r="348" spans="4:11" x14ac:dyDescent="0.25">
      <c r="D348" s="39"/>
      <c r="E348" s="42"/>
      <c r="F348" s="43"/>
      <c r="G348" s="38"/>
      <c r="I348" s="38"/>
      <c r="J348" s="39"/>
      <c r="K348" s="39"/>
    </row>
    <row r="349" spans="4:11" x14ac:dyDescent="0.25">
      <c r="D349" s="39"/>
      <c r="E349" s="42"/>
      <c r="F349" s="43"/>
      <c r="G349" s="38"/>
      <c r="I349" s="38"/>
      <c r="J349" s="39"/>
      <c r="K349" s="39"/>
    </row>
    <row r="350" spans="4:11" x14ac:dyDescent="0.25">
      <c r="D350" s="39"/>
      <c r="E350" s="42"/>
      <c r="F350" s="43"/>
      <c r="G350" s="38"/>
      <c r="I350" s="38"/>
      <c r="J350" s="39"/>
      <c r="K350" s="39"/>
    </row>
    <row r="351" spans="4:11" x14ac:dyDescent="0.25">
      <c r="D351" s="39"/>
      <c r="E351" s="42"/>
      <c r="F351" s="43"/>
      <c r="G351" s="38"/>
      <c r="I351" s="38"/>
      <c r="J351" s="39"/>
      <c r="K351" s="39"/>
    </row>
    <row r="352" spans="4:11" x14ac:dyDescent="0.25">
      <c r="D352" s="39"/>
      <c r="E352" s="42"/>
      <c r="F352" s="43"/>
      <c r="G352" s="38"/>
      <c r="I352" s="38"/>
      <c r="J352" s="39"/>
      <c r="K352" s="39"/>
    </row>
    <row r="353" spans="4:11" x14ac:dyDescent="0.25">
      <c r="D353" s="39"/>
      <c r="E353" s="42"/>
      <c r="F353" s="43"/>
      <c r="G353" s="38"/>
      <c r="I353" s="38"/>
      <c r="J353" s="39"/>
      <c r="K353" s="39"/>
    </row>
    <row r="354" spans="4:11" x14ac:dyDescent="0.25">
      <c r="D354" s="39"/>
      <c r="E354" s="42"/>
      <c r="F354" s="43"/>
      <c r="G354" s="38"/>
      <c r="I354" s="38"/>
      <c r="J354" s="39"/>
      <c r="K354" s="39"/>
    </row>
    <row r="355" spans="4:11" x14ac:dyDescent="0.25">
      <c r="D355" s="39"/>
      <c r="E355" s="42"/>
      <c r="F355" s="43"/>
      <c r="G355" s="38"/>
      <c r="I355" s="38"/>
      <c r="J355" s="39"/>
      <c r="K355" s="39"/>
    </row>
    <row r="356" spans="4:11" x14ac:dyDescent="0.25">
      <c r="D356" s="39"/>
      <c r="E356" s="42"/>
      <c r="F356" s="43"/>
      <c r="G356" s="38"/>
      <c r="I356" s="38"/>
      <c r="J356" s="39"/>
      <c r="K356" s="39"/>
    </row>
    <row r="357" spans="4:11" x14ac:dyDescent="0.25">
      <c r="D357" s="39"/>
      <c r="E357" s="42"/>
      <c r="F357" s="43"/>
      <c r="G357" s="38"/>
      <c r="I357" s="38"/>
      <c r="J357" s="39"/>
      <c r="K357" s="39"/>
    </row>
    <row r="358" spans="4:11" x14ac:dyDescent="0.25">
      <c r="D358" s="39"/>
      <c r="E358" s="42"/>
      <c r="F358" s="43"/>
      <c r="G358" s="38"/>
      <c r="I358" s="38"/>
      <c r="J358" s="39"/>
      <c r="K358" s="39"/>
    </row>
    <row r="359" spans="4:11" x14ac:dyDescent="0.25">
      <c r="D359" s="39"/>
      <c r="E359" s="42"/>
      <c r="F359" s="43"/>
      <c r="G359" s="38"/>
      <c r="I359" s="38"/>
      <c r="J359" s="39"/>
      <c r="K359" s="39"/>
    </row>
    <row r="360" spans="4:11" x14ac:dyDescent="0.25">
      <c r="D360" s="39"/>
      <c r="E360" s="42"/>
      <c r="F360" s="43"/>
      <c r="G360" s="38"/>
      <c r="I360" s="38"/>
      <c r="J360" s="39"/>
      <c r="K360" s="39"/>
    </row>
    <row r="361" spans="4:11" x14ac:dyDescent="0.25">
      <c r="D361" s="39"/>
      <c r="E361" s="42"/>
      <c r="F361" s="43"/>
      <c r="G361" s="38"/>
      <c r="I361" s="38"/>
      <c r="J361" s="39"/>
      <c r="K361" s="39"/>
    </row>
    <row r="362" spans="4:11" x14ac:dyDescent="0.25">
      <c r="D362" s="39"/>
      <c r="E362" s="42"/>
      <c r="F362" s="43"/>
      <c r="G362" s="38"/>
      <c r="I362" s="38"/>
      <c r="J362" s="39"/>
      <c r="K362" s="39"/>
    </row>
    <row r="363" spans="4:11" x14ac:dyDescent="0.25">
      <c r="D363" s="39"/>
      <c r="E363" s="42"/>
      <c r="F363" s="43"/>
      <c r="G363" s="38"/>
      <c r="I363" s="38"/>
      <c r="J363" s="39"/>
      <c r="K363" s="39"/>
    </row>
    <row r="364" spans="4:11" x14ac:dyDescent="0.25">
      <c r="D364" s="39"/>
      <c r="E364" s="42"/>
      <c r="F364" s="43"/>
      <c r="G364" s="38"/>
      <c r="I364" s="38"/>
      <c r="J364" s="39"/>
      <c r="K364" s="39"/>
    </row>
    <row r="365" spans="4:11" x14ac:dyDescent="0.25">
      <c r="D365" s="39"/>
      <c r="E365" s="42"/>
      <c r="F365" s="43"/>
      <c r="G365" s="38"/>
      <c r="I365" s="38"/>
      <c r="J365" s="39"/>
      <c r="K365" s="39"/>
    </row>
    <row r="366" spans="4:11" x14ac:dyDescent="0.25">
      <c r="D366" s="39"/>
      <c r="E366" s="42"/>
      <c r="F366" s="43"/>
      <c r="G366" s="38"/>
      <c r="I366" s="38"/>
      <c r="J366" s="39"/>
      <c r="K366" s="39"/>
    </row>
    <row r="367" spans="4:11" x14ac:dyDescent="0.25">
      <c r="D367" s="39"/>
      <c r="E367" s="42"/>
      <c r="F367" s="43"/>
      <c r="G367" s="38"/>
      <c r="I367" s="38"/>
      <c r="J367" s="39"/>
      <c r="K367" s="39"/>
    </row>
    <row r="368" spans="4:11" x14ac:dyDescent="0.25">
      <c r="D368" s="39"/>
      <c r="E368" s="42"/>
      <c r="F368" s="43"/>
      <c r="G368" s="38"/>
      <c r="I368" s="38"/>
      <c r="J368" s="39"/>
      <c r="K368" s="39"/>
    </row>
    <row r="369" spans="4:11" x14ac:dyDescent="0.25">
      <c r="D369" s="39"/>
      <c r="E369" s="42"/>
      <c r="F369" s="43"/>
      <c r="G369" s="38"/>
      <c r="I369" s="38"/>
      <c r="J369" s="39"/>
      <c r="K369" s="39"/>
    </row>
    <row r="370" spans="4:11" x14ac:dyDescent="0.25">
      <c r="D370" s="39"/>
      <c r="E370" s="42"/>
      <c r="F370" s="43"/>
      <c r="G370" s="38"/>
      <c r="I370" s="38"/>
      <c r="J370" s="39"/>
      <c r="K370" s="39"/>
    </row>
    <row r="371" spans="4:11" x14ac:dyDescent="0.25">
      <c r="D371" s="39"/>
      <c r="E371" s="42"/>
      <c r="F371" s="43"/>
      <c r="G371" s="38"/>
      <c r="I371" s="38"/>
      <c r="J371" s="39"/>
      <c r="K371" s="39"/>
    </row>
    <row r="372" spans="4:11" x14ac:dyDescent="0.25">
      <c r="D372" s="39"/>
      <c r="E372" s="42"/>
      <c r="F372" s="43"/>
      <c r="G372" s="38"/>
      <c r="I372" s="38"/>
      <c r="J372" s="39"/>
      <c r="K372" s="39"/>
    </row>
    <row r="373" spans="4:11" x14ac:dyDescent="0.25">
      <c r="D373" s="39"/>
      <c r="E373" s="42"/>
      <c r="F373" s="43"/>
      <c r="G373" s="38"/>
      <c r="I373" s="38"/>
      <c r="J373" s="39"/>
      <c r="K373" s="39"/>
    </row>
    <row r="374" spans="4:11" x14ac:dyDescent="0.25">
      <c r="D374" s="39"/>
      <c r="E374" s="42"/>
      <c r="F374" s="43"/>
      <c r="G374" s="38"/>
      <c r="I374" s="38"/>
      <c r="J374" s="39"/>
      <c r="K374" s="39"/>
    </row>
    <row r="375" spans="4:11" x14ac:dyDescent="0.25">
      <c r="D375" s="39"/>
      <c r="E375" s="42"/>
      <c r="F375" s="43"/>
      <c r="G375" s="38"/>
      <c r="I375" s="38"/>
      <c r="J375" s="39"/>
      <c r="K375" s="39"/>
    </row>
    <row r="376" spans="4:11" x14ac:dyDescent="0.25">
      <c r="D376" s="39"/>
      <c r="E376" s="42"/>
      <c r="F376" s="43"/>
      <c r="G376" s="38"/>
      <c r="I376" s="38"/>
      <c r="J376" s="39"/>
      <c r="K376" s="39"/>
    </row>
    <row r="377" spans="4:11" x14ac:dyDescent="0.25">
      <c r="D377" s="39"/>
      <c r="E377" s="42"/>
      <c r="F377" s="43"/>
      <c r="G377" s="38"/>
      <c r="I377" s="38"/>
      <c r="J377" s="39"/>
      <c r="K377" s="39"/>
    </row>
    <row r="378" spans="4:11" x14ac:dyDescent="0.25">
      <c r="D378" s="39"/>
      <c r="E378" s="42"/>
      <c r="F378" s="43"/>
      <c r="G378" s="38"/>
      <c r="I378" s="38"/>
      <c r="J378" s="39"/>
      <c r="K378" s="39"/>
    </row>
    <row r="379" spans="4:11" x14ac:dyDescent="0.25">
      <c r="D379" s="39"/>
      <c r="E379" s="42"/>
      <c r="F379" s="43"/>
      <c r="G379" s="38"/>
      <c r="I379" s="38"/>
      <c r="J379" s="39"/>
      <c r="K379" s="39"/>
    </row>
    <row r="380" spans="4:11" x14ac:dyDescent="0.25">
      <c r="D380" s="39"/>
      <c r="E380" s="42"/>
      <c r="F380" s="43"/>
      <c r="G380" s="38"/>
      <c r="I380" s="38"/>
      <c r="J380" s="39"/>
      <c r="K380" s="39"/>
    </row>
    <row r="381" spans="4:11" x14ac:dyDescent="0.25">
      <c r="D381" s="39"/>
      <c r="E381" s="42"/>
      <c r="F381" s="43"/>
      <c r="G381" s="38"/>
      <c r="I381" s="38"/>
      <c r="J381" s="39"/>
      <c r="K381" s="39"/>
    </row>
    <row r="382" spans="4:11" x14ac:dyDescent="0.25">
      <c r="D382" s="39"/>
      <c r="E382" s="42"/>
      <c r="F382" s="43"/>
      <c r="G382" s="38"/>
      <c r="I382" s="38"/>
      <c r="J382" s="39"/>
      <c r="K382" s="39"/>
    </row>
    <row r="383" spans="4:11" x14ac:dyDescent="0.25">
      <c r="D383" s="39"/>
      <c r="E383" s="42"/>
      <c r="F383" s="43"/>
      <c r="G383" s="38"/>
      <c r="I383" s="38"/>
      <c r="J383" s="39"/>
      <c r="K383" s="39"/>
    </row>
    <row r="384" spans="4:11" x14ac:dyDescent="0.25">
      <c r="D384" s="39"/>
      <c r="E384" s="42"/>
      <c r="F384" s="43"/>
      <c r="G384" s="38"/>
      <c r="I384" s="38"/>
      <c r="J384" s="39"/>
      <c r="K384" s="39"/>
    </row>
    <row r="385" spans="4:11" x14ac:dyDescent="0.25">
      <c r="D385" s="39"/>
      <c r="E385" s="42"/>
      <c r="F385" s="43"/>
      <c r="G385" s="38"/>
      <c r="I385" s="38"/>
      <c r="J385" s="39"/>
      <c r="K385" s="39"/>
    </row>
    <row r="386" spans="4:11" x14ac:dyDescent="0.25">
      <c r="D386" s="39"/>
      <c r="E386" s="42"/>
      <c r="F386" s="43"/>
      <c r="G386" s="38"/>
      <c r="I386" s="38"/>
      <c r="J386" s="39"/>
      <c r="K386" s="39"/>
    </row>
    <row r="387" spans="4:11" x14ac:dyDescent="0.25">
      <c r="D387" s="39"/>
      <c r="E387" s="42"/>
      <c r="F387" s="43"/>
      <c r="G387" s="38"/>
      <c r="I387" s="38"/>
      <c r="J387" s="39"/>
      <c r="K387" s="39"/>
    </row>
    <row r="388" spans="4:11" x14ac:dyDescent="0.25">
      <c r="D388" s="39"/>
      <c r="E388" s="42"/>
      <c r="F388" s="43"/>
      <c r="G388" s="38"/>
      <c r="I388" s="38"/>
      <c r="J388" s="39"/>
      <c r="K388" s="39"/>
    </row>
    <row r="389" spans="4:11" x14ac:dyDescent="0.25">
      <c r="D389" s="39"/>
      <c r="E389" s="42"/>
      <c r="F389" s="43"/>
      <c r="G389" s="38"/>
      <c r="I389" s="38"/>
      <c r="J389" s="39"/>
      <c r="K389" s="39"/>
    </row>
    <row r="390" spans="4:11" x14ac:dyDescent="0.25">
      <c r="D390" s="39"/>
      <c r="E390" s="42"/>
      <c r="F390" s="43"/>
      <c r="G390" s="38"/>
      <c r="I390" s="38"/>
      <c r="J390" s="39"/>
      <c r="K390" s="39"/>
    </row>
    <row r="391" spans="4:11" x14ac:dyDescent="0.25">
      <c r="D391" s="39"/>
      <c r="E391" s="42"/>
      <c r="F391" s="43"/>
      <c r="G391" s="38"/>
      <c r="I391" s="38"/>
      <c r="J391" s="39"/>
      <c r="K391" s="39"/>
    </row>
    <row r="392" spans="4:11" x14ac:dyDescent="0.25">
      <c r="D392" s="39"/>
      <c r="E392" s="42"/>
      <c r="F392" s="43"/>
      <c r="G392" s="38"/>
      <c r="I392" s="38"/>
      <c r="J392" s="39"/>
      <c r="K392" s="39"/>
    </row>
    <row r="393" spans="4:11" x14ac:dyDescent="0.25">
      <c r="D393" s="39"/>
      <c r="E393" s="42"/>
      <c r="F393" s="43"/>
      <c r="G393" s="38"/>
      <c r="I393" s="38"/>
      <c r="J393" s="39"/>
      <c r="K393" s="39"/>
    </row>
    <row r="394" spans="4:11" x14ac:dyDescent="0.25">
      <c r="D394" s="39"/>
      <c r="E394" s="42"/>
      <c r="F394" s="43"/>
      <c r="G394" s="38"/>
      <c r="I394" s="38"/>
      <c r="J394" s="39"/>
      <c r="K394" s="39"/>
    </row>
    <row r="395" spans="4:11" x14ac:dyDescent="0.25">
      <c r="D395" s="39"/>
      <c r="E395" s="42"/>
      <c r="F395" s="43"/>
      <c r="G395" s="38"/>
      <c r="I395" s="38"/>
      <c r="J395" s="39"/>
      <c r="K395" s="39"/>
    </row>
    <row r="396" spans="4:11" x14ac:dyDescent="0.25">
      <c r="D396" s="39"/>
      <c r="E396" s="42"/>
      <c r="F396" s="43"/>
      <c r="G396" s="38"/>
      <c r="I396" s="38"/>
      <c r="J396" s="39"/>
      <c r="K396" s="39"/>
    </row>
    <row r="397" spans="4:11" x14ac:dyDescent="0.25">
      <c r="D397" s="39"/>
      <c r="E397" s="42"/>
      <c r="F397" s="43"/>
      <c r="G397" s="38"/>
      <c r="I397" s="38"/>
      <c r="J397" s="39"/>
      <c r="K397" s="39"/>
    </row>
    <row r="398" spans="4:11" x14ac:dyDescent="0.25">
      <c r="D398" s="39"/>
      <c r="E398" s="42"/>
      <c r="F398" s="43"/>
      <c r="G398" s="38"/>
      <c r="I398" s="38"/>
      <c r="J398" s="39"/>
      <c r="K398" s="39"/>
    </row>
    <row r="399" spans="4:11" x14ac:dyDescent="0.25">
      <c r="D399" s="39"/>
      <c r="E399" s="42"/>
      <c r="F399" s="43"/>
      <c r="G399" s="38"/>
      <c r="I399" s="38"/>
      <c r="J399" s="39"/>
      <c r="K399" s="39"/>
    </row>
    <row r="400" spans="4:11" x14ac:dyDescent="0.25">
      <c r="D400" s="39"/>
      <c r="E400" s="42"/>
      <c r="F400" s="43"/>
      <c r="G400" s="38"/>
      <c r="I400" s="38"/>
      <c r="J400" s="39"/>
      <c r="K400" s="39"/>
    </row>
    <row r="401" spans="4:11" x14ac:dyDescent="0.25">
      <c r="D401" s="39"/>
      <c r="E401" s="42"/>
      <c r="F401" s="43"/>
      <c r="G401" s="38"/>
      <c r="I401" s="38"/>
      <c r="J401" s="39"/>
      <c r="K401" s="39"/>
    </row>
    <row r="402" spans="4:11" x14ac:dyDescent="0.25">
      <c r="D402" s="39"/>
      <c r="E402" s="42"/>
      <c r="F402" s="43"/>
      <c r="G402" s="38"/>
      <c r="I402" s="38"/>
      <c r="J402" s="39"/>
      <c r="K402" s="39"/>
    </row>
    <row r="403" spans="4:11" x14ac:dyDescent="0.25">
      <c r="D403" s="39"/>
      <c r="E403" s="42"/>
      <c r="F403" s="43"/>
      <c r="G403" s="38"/>
      <c r="I403" s="38"/>
      <c r="J403" s="39"/>
      <c r="K403" s="39"/>
    </row>
    <row r="404" spans="4:11" x14ac:dyDescent="0.25">
      <c r="D404" s="39"/>
      <c r="E404" s="42"/>
      <c r="F404" s="43"/>
      <c r="G404" s="38"/>
      <c r="I404" s="38"/>
      <c r="J404" s="39"/>
      <c r="K404" s="39"/>
    </row>
    <row r="405" spans="4:11" x14ac:dyDescent="0.25">
      <c r="D405" s="39"/>
      <c r="E405" s="42"/>
      <c r="F405" s="43"/>
      <c r="G405" s="38"/>
      <c r="I405" s="38"/>
      <c r="J405" s="39"/>
      <c r="K405" s="39"/>
    </row>
    <row r="406" spans="4:11" x14ac:dyDescent="0.25">
      <c r="D406" s="39"/>
      <c r="E406" s="42"/>
      <c r="F406" s="43"/>
      <c r="G406" s="38"/>
      <c r="I406" s="38"/>
      <c r="J406" s="39"/>
      <c r="K406" s="39"/>
    </row>
    <row r="407" spans="4:11" x14ac:dyDescent="0.25">
      <c r="D407" s="39"/>
      <c r="E407" s="42"/>
      <c r="F407" s="43"/>
      <c r="G407" s="38"/>
      <c r="I407" s="38"/>
      <c r="J407" s="39"/>
      <c r="K407" s="39"/>
    </row>
    <row r="408" spans="4:11" x14ac:dyDescent="0.25">
      <c r="D408" s="39"/>
      <c r="E408" s="42"/>
      <c r="F408" s="43"/>
      <c r="G408" s="38"/>
      <c r="I408" s="38"/>
      <c r="J408" s="39"/>
      <c r="K408" s="39"/>
    </row>
    <row r="409" spans="4:11" x14ac:dyDescent="0.25">
      <c r="D409" s="39"/>
      <c r="E409" s="42"/>
      <c r="F409" s="43"/>
      <c r="G409" s="38"/>
      <c r="I409" s="38"/>
      <c r="J409" s="39"/>
      <c r="K409" s="39"/>
    </row>
    <row r="410" spans="4:11" x14ac:dyDescent="0.25">
      <c r="D410" s="39"/>
      <c r="E410" s="42"/>
      <c r="F410" s="43"/>
      <c r="G410" s="38"/>
      <c r="I410" s="38"/>
      <c r="J410" s="39"/>
      <c r="K410" s="39"/>
    </row>
    <row r="411" spans="4:11" x14ac:dyDescent="0.25">
      <c r="D411" s="39"/>
      <c r="E411" s="42"/>
      <c r="F411" s="43"/>
      <c r="G411" s="38"/>
      <c r="I411" s="38"/>
      <c r="J411" s="39"/>
      <c r="K411" s="39"/>
    </row>
    <row r="412" spans="4:11" x14ac:dyDescent="0.25">
      <c r="D412" s="39"/>
      <c r="E412" s="42"/>
      <c r="F412" s="43"/>
      <c r="G412" s="38"/>
      <c r="I412" s="38"/>
      <c r="J412" s="39"/>
      <c r="K412" s="39"/>
    </row>
    <row r="413" spans="4:11" x14ac:dyDescent="0.25">
      <c r="D413" s="39"/>
      <c r="E413" s="42"/>
      <c r="F413" s="43"/>
      <c r="G413" s="38"/>
      <c r="I413" s="38"/>
      <c r="J413" s="39"/>
      <c r="K413" s="39"/>
    </row>
    <row r="414" spans="4:11" x14ac:dyDescent="0.25">
      <c r="D414" s="39"/>
      <c r="E414" s="42"/>
      <c r="F414" s="43"/>
      <c r="G414" s="38"/>
      <c r="I414" s="38"/>
      <c r="J414" s="39"/>
      <c r="K414" s="39"/>
    </row>
    <row r="415" spans="4:11" x14ac:dyDescent="0.25">
      <c r="D415" s="39"/>
      <c r="E415" s="42"/>
      <c r="F415" s="43"/>
      <c r="G415" s="38"/>
      <c r="I415" s="38"/>
      <c r="J415" s="39"/>
      <c r="K415" s="39"/>
    </row>
    <row r="416" spans="4:11" x14ac:dyDescent="0.25">
      <c r="D416" s="39"/>
      <c r="E416" s="42"/>
      <c r="F416" s="43"/>
      <c r="G416" s="38"/>
      <c r="I416" s="38"/>
      <c r="J416" s="39"/>
      <c r="K416" s="39"/>
    </row>
    <row r="417" spans="4:11" x14ac:dyDescent="0.25">
      <c r="D417" s="39"/>
      <c r="E417" s="42"/>
      <c r="F417" s="43"/>
      <c r="G417" s="38"/>
      <c r="I417" s="38"/>
      <c r="J417" s="39"/>
      <c r="K417" s="39"/>
    </row>
    <row r="418" spans="4:11" x14ac:dyDescent="0.25">
      <c r="D418" s="39"/>
      <c r="E418" s="42"/>
      <c r="F418" s="43"/>
      <c r="G418" s="38"/>
      <c r="I418" s="38"/>
      <c r="J418" s="39"/>
      <c r="K418" s="39"/>
    </row>
    <row r="419" spans="4:11" x14ac:dyDescent="0.25">
      <c r="D419" s="39"/>
      <c r="E419" s="42"/>
      <c r="F419" s="43"/>
      <c r="G419" s="38"/>
      <c r="I419" s="38"/>
      <c r="J419" s="39"/>
      <c r="K419" s="39"/>
    </row>
    <row r="420" spans="4:11" x14ac:dyDescent="0.25">
      <c r="D420" s="39"/>
      <c r="E420" s="42"/>
      <c r="F420" s="43"/>
      <c r="G420" s="38"/>
      <c r="I420" s="38"/>
      <c r="J420" s="39"/>
      <c r="K420" s="39"/>
    </row>
    <row r="421" spans="4:11" x14ac:dyDescent="0.25">
      <c r="D421" s="39"/>
      <c r="E421" s="42"/>
      <c r="F421" s="43"/>
      <c r="G421" s="38"/>
      <c r="I421" s="38"/>
      <c r="J421" s="39"/>
      <c r="K421" s="39"/>
    </row>
    <row r="422" spans="4:11" x14ac:dyDescent="0.25">
      <c r="D422" s="39"/>
      <c r="E422" s="42"/>
      <c r="F422" s="43"/>
      <c r="G422" s="38"/>
      <c r="I422" s="38"/>
      <c r="J422" s="39"/>
      <c r="K422" s="39"/>
    </row>
    <row r="423" spans="4:11" x14ac:dyDescent="0.25">
      <c r="D423" s="39"/>
      <c r="E423" s="42"/>
      <c r="F423" s="43"/>
      <c r="G423" s="38"/>
      <c r="I423" s="38"/>
      <c r="J423" s="39"/>
      <c r="K423" s="39"/>
    </row>
    <row r="424" spans="4:11" x14ac:dyDescent="0.25">
      <c r="D424" s="39"/>
      <c r="E424" s="42"/>
      <c r="F424" s="43"/>
      <c r="G424" s="38"/>
      <c r="I424" s="38"/>
      <c r="J424" s="39"/>
      <c r="K424" s="39"/>
    </row>
    <row r="425" spans="4:11" x14ac:dyDescent="0.25">
      <c r="D425" s="39"/>
      <c r="E425" s="42"/>
      <c r="F425" s="43"/>
      <c r="G425" s="38"/>
      <c r="I425" s="38"/>
      <c r="J425" s="39"/>
      <c r="K425" s="39"/>
    </row>
    <row r="426" spans="4:11" x14ac:dyDescent="0.25">
      <c r="D426" s="39"/>
      <c r="E426" s="42"/>
      <c r="F426" s="43"/>
      <c r="G426" s="38"/>
      <c r="I426" s="38"/>
      <c r="J426" s="39"/>
      <c r="K426" s="39"/>
    </row>
    <row r="427" spans="4:11" x14ac:dyDescent="0.25">
      <c r="D427" s="39"/>
      <c r="E427" s="42"/>
      <c r="F427" s="43"/>
      <c r="G427" s="38"/>
      <c r="I427" s="38"/>
      <c r="J427" s="39"/>
      <c r="K427" s="39"/>
    </row>
    <row r="428" spans="4:11" x14ac:dyDescent="0.25">
      <c r="D428" s="39"/>
      <c r="E428" s="42"/>
      <c r="F428" s="43"/>
      <c r="G428" s="38"/>
      <c r="I428" s="38"/>
      <c r="J428" s="39"/>
      <c r="K428" s="39"/>
    </row>
    <row r="429" spans="4:11" x14ac:dyDescent="0.25">
      <c r="D429" s="39"/>
      <c r="E429" s="42"/>
      <c r="F429" s="43"/>
      <c r="G429" s="38"/>
      <c r="I429" s="38"/>
      <c r="J429" s="39"/>
      <c r="K429" s="39"/>
    </row>
    <row r="430" spans="4:11" x14ac:dyDescent="0.25">
      <c r="D430" s="39"/>
      <c r="E430" s="42"/>
      <c r="F430" s="43"/>
      <c r="G430" s="38"/>
      <c r="I430" s="38"/>
      <c r="J430" s="39"/>
      <c r="K430" s="39"/>
    </row>
    <row r="431" spans="4:11" x14ac:dyDescent="0.25">
      <c r="D431" s="39"/>
      <c r="E431" s="42"/>
      <c r="F431" s="43"/>
      <c r="G431" s="38"/>
      <c r="I431" s="38"/>
      <c r="J431" s="39"/>
      <c r="K431" s="39"/>
    </row>
    <row r="432" spans="4:11" x14ac:dyDescent="0.25">
      <c r="D432" s="39"/>
      <c r="E432" s="42"/>
      <c r="F432" s="43"/>
      <c r="G432" s="38"/>
      <c r="I432" s="38"/>
      <c r="J432" s="39"/>
      <c r="K432" s="39"/>
    </row>
    <row r="433" spans="4:11" x14ac:dyDescent="0.25">
      <c r="D433" s="39"/>
      <c r="E433" s="42"/>
      <c r="F433" s="43"/>
      <c r="G433" s="38"/>
      <c r="I433" s="38"/>
      <c r="J433" s="39"/>
      <c r="K433" s="39"/>
    </row>
    <row r="434" spans="4:11" x14ac:dyDescent="0.25">
      <c r="D434" s="39"/>
      <c r="E434" s="42"/>
      <c r="F434" s="43"/>
      <c r="G434" s="38"/>
      <c r="I434" s="38"/>
      <c r="J434" s="39"/>
      <c r="K434" s="39"/>
    </row>
    <row r="435" spans="4:11" x14ac:dyDescent="0.25">
      <c r="D435" s="39"/>
      <c r="E435" s="42"/>
      <c r="F435" s="43"/>
      <c r="G435" s="38"/>
      <c r="I435" s="38"/>
      <c r="J435" s="39"/>
      <c r="K435" s="39"/>
    </row>
    <row r="436" spans="4:11" x14ac:dyDescent="0.25">
      <c r="D436" s="39"/>
      <c r="E436" s="42"/>
      <c r="F436" s="43"/>
      <c r="G436" s="38"/>
      <c r="I436" s="38"/>
      <c r="J436" s="39"/>
      <c r="K436" s="39"/>
    </row>
    <row r="437" spans="4:11" x14ac:dyDescent="0.25">
      <c r="D437" s="39"/>
      <c r="E437" s="42"/>
      <c r="F437" s="43"/>
      <c r="G437" s="38"/>
      <c r="I437" s="38"/>
      <c r="J437" s="39"/>
      <c r="K437" s="39"/>
    </row>
    <row r="438" spans="4:11" x14ac:dyDescent="0.25">
      <c r="D438" s="39"/>
      <c r="E438" s="42"/>
      <c r="F438" s="43"/>
      <c r="G438" s="38"/>
      <c r="I438" s="38"/>
      <c r="J438" s="39"/>
      <c r="K438" s="39"/>
    </row>
    <row r="439" spans="4:11" x14ac:dyDescent="0.25">
      <c r="D439" s="39"/>
      <c r="E439" s="42"/>
      <c r="F439" s="43"/>
      <c r="G439" s="38"/>
      <c r="I439" s="38"/>
      <c r="J439" s="39"/>
      <c r="K439" s="39"/>
    </row>
    <row r="440" spans="4:11" x14ac:dyDescent="0.25">
      <c r="D440" s="39"/>
      <c r="E440" s="42"/>
      <c r="F440" s="43"/>
      <c r="G440" s="38"/>
      <c r="I440" s="38"/>
      <c r="J440" s="39"/>
      <c r="K440" s="39"/>
    </row>
    <row r="441" spans="4:11" x14ac:dyDescent="0.25">
      <c r="D441" s="39"/>
      <c r="E441" s="42"/>
      <c r="F441" s="43"/>
      <c r="G441" s="38"/>
      <c r="I441" s="38"/>
      <c r="J441" s="39"/>
      <c r="K441" s="39"/>
    </row>
    <row r="442" spans="4:11" x14ac:dyDescent="0.25">
      <c r="D442" s="39"/>
      <c r="E442" s="42"/>
      <c r="F442" s="43"/>
      <c r="G442" s="38"/>
      <c r="I442" s="38"/>
      <c r="J442" s="39"/>
      <c r="K442" s="39"/>
    </row>
    <row r="443" spans="4:11" x14ac:dyDescent="0.25">
      <c r="D443" s="39"/>
      <c r="E443" s="42"/>
      <c r="F443" s="43"/>
      <c r="G443" s="38"/>
      <c r="I443" s="38"/>
      <c r="J443" s="39"/>
      <c r="K443" s="39"/>
    </row>
    <row r="444" spans="4:11" x14ac:dyDescent="0.25">
      <c r="D444" s="39"/>
      <c r="E444" s="42"/>
      <c r="F444" s="43"/>
      <c r="G444" s="38"/>
      <c r="I444" s="38"/>
      <c r="J444" s="39"/>
      <c r="K444" s="39"/>
    </row>
    <row r="445" spans="4:11" x14ac:dyDescent="0.25">
      <c r="D445" s="39"/>
      <c r="E445" s="42"/>
      <c r="F445" s="43"/>
      <c r="G445" s="38"/>
      <c r="I445" s="38"/>
      <c r="J445" s="39"/>
      <c r="K445" s="39"/>
    </row>
    <row r="446" spans="4:11" x14ac:dyDescent="0.25">
      <c r="D446" s="39"/>
      <c r="E446" s="42"/>
      <c r="F446" s="43"/>
      <c r="G446" s="38"/>
      <c r="I446" s="38"/>
      <c r="J446" s="39"/>
      <c r="K446" s="39"/>
    </row>
    <row r="447" spans="4:11" x14ac:dyDescent="0.25">
      <c r="D447" s="39"/>
      <c r="E447" s="42"/>
      <c r="F447" s="43"/>
      <c r="G447" s="38"/>
      <c r="I447" s="38"/>
      <c r="J447" s="39"/>
      <c r="K447" s="39"/>
    </row>
    <row r="448" spans="4:11" x14ac:dyDescent="0.25">
      <c r="D448" s="39"/>
      <c r="E448" s="42"/>
      <c r="F448" s="43"/>
      <c r="G448" s="38"/>
      <c r="I448" s="38"/>
      <c r="J448" s="39"/>
      <c r="K448" s="39"/>
    </row>
    <row r="449" spans="4:11" x14ac:dyDescent="0.25">
      <c r="D449" s="39"/>
      <c r="E449" s="42"/>
      <c r="F449" s="43"/>
      <c r="G449" s="38"/>
      <c r="I449" s="38"/>
      <c r="J449" s="39"/>
      <c r="K449" s="39"/>
    </row>
    <row r="450" spans="4:11" x14ac:dyDescent="0.25">
      <c r="D450" s="39"/>
      <c r="E450" s="42"/>
      <c r="F450" s="43"/>
      <c r="G450" s="38"/>
      <c r="I450" s="38"/>
      <c r="J450" s="39"/>
      <c r="K450" s="39"/>
    </row>
    <row r="451" spans="4:11" x14ac:dyDescent="0.25">
      <c r="D451" s="39"/>
      <c r="E451" s="42"/>
      <c r="F451" s="43"/>
      <c r="G451" s="38"/>
      <c r="I451" s="38"/>
      <c r="J451" s="39"/>
      <c r="K451" s="39"/>
    </row>
    <row r="452" spans="4:11" x14ac:dyDescent="0.25">
      <c r="D452" s="39"/>
      <c r="E452" s="42"/>
      <c r="F452" s="43"/>
      <c r="G452" s="38"/>
      <c r="I452" s="38"/>
      <c r="J452" s="39"/>
      <c r="K452" s="39"/>
    </row>
    <row r="453" spans="4:11" x14ac:dyDescent="0.25">
      <c r="D453" s="39"/>
      <c r="E453" s="42"/>
      <c r="F453" s="43"/>
      <c r="G453" s="38"/>
      <c r="I453" s="38"/>
      <c r="J453" s="39"/>
      <c r="K453" s="39"/>
    </row>
    <row r="454" spans="4:11" x14ac:dyDescent="0.25">
      <c r="D454" s="39"/>
      <c r="E454" s="42"/>
      <c r="F454" s="43"/>
      <c r="G454" s="38"/>
      <c r="I454" s="38"/>
      <c r="J454" s="39"/>
      <c r="K454" s="39"/>
    </row>
    <row r="455" spans="4:11" x14ac:dyDescent="0.25">
      <c r="D455" s="39"/>
      <c r="E455" s="42"/>
      <c r="F455" s="43"/>
      <c r="G455" s="38"/>
      <c r="I455" s="38"/>
      <c r="J455" s="39"/>
      <c r="K455" s="39"/>
    </row>
    <row r="456" spans="4:11" x14ac:dyDescent="0.25">
      <c r="D456" s="39"/>
      <c r="E456" s="42"/>
      <c r="F456" s="43"/>
      <c r="G456" s="38"/>
      <c r="I456" s="38"/>
      <c r="J456" s="39"/>
      <c r="K456" s="39"/>
    </row>
    <row r="457" spans="4:11" x14ac:dyDescent="0.25">
      <c r="D457" s="39"/>
      <c r="E457" s="42"/>
      <c r="F457" s="43"/>
      <c r="G457" s="38"/>
      <c r="I457" s="38"/>
      <c r="J457" s="39"/>
      <c r="K457" s="39"/>
    </row>
    <row r="458" spans="4:11" x14ac:dyDescent="0.25">
      <c r="D458" s="39"/>
      <c r="E458" s="42"/>
      <c r="F458" s="43"/>
      <c r="G458" s="38"/>
      <c r="I458" s="38"/>
      <c r="J458" s="39"/>
      <c r="K458" s="39"/>
    </row>
    <row r="459" spans="4:11" x14ac:dyDescent="0.25">
      <c r="D459" s="39"/>
      <c r="E459" s="42"/>
      <c r="F459" s="43"/>
      <c r="G459" s="38"/>
      <c r="I459" s="38"/>
      <c r="J459" s="39"/>
      <c r="K459" s="39"/>
    </row>
    <row r="460" spans="4:11" x14ac:dyDescent="0.25">
      <c r="D460" s="39"/>
      <c r="E460" s="42"/>
      <c r="F460" s="43"/>
      <c r="G460" s="38"/>
      <c r="I460" s="38"/>
      <c r="J460" s="39"/>
      <c r="K460" s="39"/>
    </row>
    <row r="461" spans="4:11" x14ac:dyDescent="0.25">
      <c r="D461" s="39"/>
      <c r="E461" s="42"/>
      <c r="F461" s="43"/>
      <c r="G461" s="38"/>
      <c r="I461" s="38"/>
      <c r="J461" s="39"/>
      <c r="K461" s="39"/>
    </row>
    <row r="462" spans="4:11" x14ac:dyDescent="0.25">
      <c r="D462" s="39"/>
      <c r="E462" s="42"/>
      <c r="F462" s="43"/>
      <c r="G462" s="38"/>
      <c r="I462" s="38"/>
      <c r="J462" s="39"/>
      <c r="K462" s="39"/>
    </row>
    <row r="463" spans="4:11" x14ac:dyDescent="0.25">
      <c r="D463" s="39"/>
      <c r="E463" s="42"/>
      <c r="F463" s="43"/>
      <c r="G463" s="38"/>
      <c r="I463" s="38"/>
      <c r="J463" s="39"/>
      <c r="K463" s="39"/>
    </row>
    <row r="464" spans="4:11" x14ac:dyDescent="0.25">
      <c r="D464" s="39"/>
      <c r="E464" s="42"/>
      <c r="F464" s="43"/>
      <c r="G464" s="38"/>
      <c r="I464" s="38"/>
      <c r="J464" s="39"/>
      <c r="K464" s="39"/>
    </row>
    <row r="465" spans="4:11" x14ac:dyDescent="0.25">
      <c r="D465" s="39"/>
      <c r="E465" s="42"/>
      <c r="F465" s="43"/>
      <c r="G465" s="38"/>
      <c r="I465" s="38"/>
      <c r="J465" s="39"/>
      <c r="K465" s="39"/>
    </row>
    <row r="466" spans="4:11" x14ac:dyDescent="0.25">
      <c r="D466" s="39"/>
      <c r="E466" s="42"/>
      <c r="F466" s="43"/>
      <c r="G466" s="38"/>
      <c r="I466" s="38"/>
      <c r="J466" s="39"/>
      <c r="K466" s="39"/>
    </row>
    <row r="467" spans="4:11" x14ac:dyDescent="0.25">
      <c r="D467" s="39"/>
      <c r="E467" s="42"/>
      <c r="F467" s="43"/>
      <c r="G467" s="38"/>
      <c r="I467" s="38"/>
      <c r="J467" s="39"/>
      <c r="K467" s="39"/>
    </row>
    <row r="468" spans="4:11" x14ac:dyDescent="0.25">
      <c r="D468" s="39"/>
      <c r="E468" s="42"/>
      <c r="F468" s="43"/>
      <c r="G468" s="38"/>
      <c r="I468" s="38"/>
      <c r="J468" s="39"/>
      <c r="K468" s="39"/>
    </row>
    <row r="469" spans="4:11" x14ac:dyDescent="0.25">
      <c r="D469" s="39"/>
      <c r="E469" s="42"/>
      <c r="F469" s="43"/>
      <c r="G469" s="38"/>
      <c r="I469" s="38"/>
      <c r="J469" s="39"/>
      <c r="K469" s="39"/>
    </row>
    <row r="470" spans="4:11" x14ac:dyDescent="0.25">
      <c r="D470" s="39"/>
      <c r="E470" s="42"/>
      <c r="F470" s="43"/>
      <c r="G470" s="38"/>
      <c r="I470" s="38"/>
      <c r="J470" s="39"/>
      <c r="K470" s="39"/>
    </row>
    <row r="471" spans="4:11" x14ac:dyDescent="0.25">
      <c r="D471" s="39"/>
      <c r="E471" s="42"/>
      <c r="F471" s="43"/>
      <c r="G471" s="38"/>
      <c r="I471" s="38"/>
      <c r="J471" s="39"/>
      <c r="K471" s="39"/>
    </row>
    <row r="472" spans="4:11" x14ac:dyDescent="0.25">
      <c r="D472" s="39"/>
      <c r="E472" s="42"/>
      <c r="F472" s="43"/>
      <c r="G472" s="38"/>
      <c r="I472" s="38"/>
      <c r="J472" s="39"/>
      <c r="K472" s="39"/>
    </row>
    <row r="473" spans="4:11" x14ac:dyDescent="0.25">
      <c r="D473" s="39"/>
      <c r="E473" s="42"/>
      <c r="F473" s="43"/>
      <c r="G473" s="38"/>
      <c r="I473" s="38"/>
      <c r="J473" s="39"/>
      <c r="K473" s="39"/>
    </row>
    <row r="474" spans="4:11" x14ac:dyDescent="0.25">
      <c r="D474" s="39"/>
      <c r="E474" s="42"/>
      <c r="F474" s="43"/>
      <c r="G474" s="38"/>
      <c r="I474" s="38"/>
      <c r="J474" s="39"/>
      <c r="K474" s="39"/>
    </row>
    <row r="475" spans="4:11" x14ac:dyDescent="0.25">
      <c r="D475" s="39"/>
      <c r="E475" s="42"/>
      <c r="F475" s="43"/>
      <c r="G475" s="38"/>
      <c r="I475" s="38"/>
      <c r="J475" s="39"/>
      <c r="K475" s="39"/>
    </row>
    <row r="476" spans="4:11" x14ac:dyDescent="0.25">
      <c r="D476" s="39"/>
      <c r="E476" s="42"/>
      <c r="F476" s="43"/>
      <c r="G476" s="38"/>
      <c r="I476" s="38"/>
      <c r="J476" s="39"/>
      <c r="K476" s="39"/>
    </row>
    <row r="477" spans="4:11" x14ac:dyDescent="0.25">
      <c r="D477" s="39"/>
      <c r="E477" s="42"/>
      <c r="F477" s="43"/>
      <c r="G477" s="38"/>
      <c r="I477" s="38"/>
      <c r="J477" s="39"/>
      <c r="K477" s="39"/>
    </row>
    <row r="478" spans="4:11" x14ac:dyDescent="0.25">
      <c r="D478" s="39"/>
      <c r="E478" s="42"/>
      <c r="F478" s="43"/>
      <c r="G478" s="38"/>
      <c r="I478" s="38"/>
      <c r="J478" s="39"/>
      <c r="K478" s="39"/>
    </row>
    <row r="479" spans="4:11" x14ac:dyDescent="0.25">
      <c r="D479" s="39"/>
      <c r="E479" s="42"/>
      <c r="F479" s="43"/>
      <c r="G479" s="38"/>
      <c r="I479" s="38"/>
      <c r="J479" s="39"/>
      <c r="K479" s="39"/>
    </row>
    <row r="480" spans="4:11" x14ac:dyDescent="0.25">
      <c r="D480" s="39"/>
      <c r="E480" s="42"/>
      <c r="F480" s="43"/>
      <c r="G480" s="38"/>
      <c r="I480" s="38"/>
      <c r="J480" s="39"/>
      <c r="K480" s="39"/>
    </row>
    <row r="481" spans="4:11" x14ac:dyDescent="0.25">
      <c r="D481" s="39"/>
      <c r="E481" s="42"/>
      <c r="F481" s="43"/>
      <c r="G481" s="38"/>
      <c r="I481" s="38"/>
      <c r="J481" s="39"/>
      <c r="K481" s="39"/>
    </row>
    <row r="482" spans="4:11" x14ac:dyDescent="0.25">
      <c r="D482" s="39"/>
      <c r="E482" s="42"/>
      <c r="F482" s="43"/>
      <c r="G482" s="38"/>
      <c r="I482" s="38"/>
      <c r="J482" s="39"/>
      <c r="K482" s="39"/>
    </row>
    <row r="483" spans="4:11" x14ac:dyDescent="0.25">
      <c r="D483" s="39"/>
      <c r="E483" s="42"/>
      <c r="F483" s="43"/>
      <c r="G483" s="38"/>
      <c r="I483" s="38"/>
      <c r="J483" s="39"/>
      <c r="K483" s="39"/>
    </row>
    <row r="484" spans="4:11" x14ac:dyDescent="0.25">
      <c r="D484" s="39"/>
      <c r="E484" s="42"/>
      <c r="F484" s="43"/>
      <c r="G484" s="38"/>
      <c r="I484" s="38"/>
      <c r="J484" s="39"/>
      <c r="K484" s="39"/>
    </row>
    <row r="485" spans="4:11" x14ac:dyDescent="0.25">
      <c r="D485" s="39"/>
      <c r="E485" s="42"/>
      <c r="F485" s="43"/>
      <c r="G485" s="38"/>
      <c r="I485" s="38"/>
      <c r="J485" s="39"/>
      <c r="K485" s="39"/>
    </row>
    <row r="486" spans="4:11" x14ac:dyDescent="0.25">
      <c r="D486" s="39"/>
      <c r="E486" s="42"/>
      <c r="F486" s="43"/>
      <c r="G486" s="38"/>
      <c r="I486" s="38"/>
      <c r="J486" s="39"/>
      <c r="K486" s="39"/>
    </row>
    <row r="487" spans="4:11" x14ac:dyDescent="0.25">
      <c r="D487" s="39"/>
      <c r="E487" s="42"/>
      <c r="F487" s="43"/>
      <c r="G487" s="38"/>
      <c r="I487" s="38"/>
      <c r="J487" s="39"/>
      <c r="K487" s="39"/>
    </row>
    <row r="488" spans="4:11" x14ac:dyDescent="0.25">
      <c r="D488" s="39"/>
      <c r="E488" s="42"/>
      <c r="F488" s="43"/>
      <c r="G488" s="38"/>
      <c r="I488" s="38"/>
      <c r="J488" s="39"/>
      <c r="K488" s="39"/>
    </row>
    <row r="489" spans="4:11" x14ac:dyDescent="0.25">
      <c r="D489" s="39"/>
      <c r="E489" s="42"/>
      <c r="F489" s="43"/>
      <c r="G489" s="38"/>
      <c r="I489" s="38"/>
      <c r="J489" s="39"/>
      <c r="K489" s="39"/>
    </row>
    <row r="490" spans="4:11" x14ac:dyDescent="0.25">
      <c r="D490" s="39"/>
      <c r="E490" s="42"/>
      <c r="F490" s="43"/>
      <c r="G490" s="38"/>
      <c r="I490" s="38"/>
      <c r="J490" s="39"/>
      <c r="K490" s="39"/>
    </row>
    <row r="491" spans="4:11" x14ac:dyDescent="0.25">
      <c r="D491" s="39"/>
      <c r="E491" s="42"/>
      <c r="F491" s="43"/>
      <c r="G491" s="38"/>
      <c r="I491" s="38"/>
      <c r="J491" s="39"/>
      <c r="K491" s="39"/>
    </row>
    <row r="492" spans="4:11" x14ac:dyDescent="0.25">
      <c r="D492" s="39"/>
      <c r="E492" s="42"/>
      <c r="F492" s="43"/>
      <c r="G492" s="38"/>
      <c r="I492" s="38"/>
      <c r="J492" s="39"/>
      <c r="K492" s="39"/>
    </row>
    <row r="493" spans="4:11" x14ac:dyDescent="0.25">
      <c r="D493" s="39"/>
      <c r="E493" s="42"/>
      <c r="F493" s="43"/>
      <c r="G493" s="38"/>
      <c r="I493" s="38"/>
      <c r="J493" s="39"/>
      <c r="K493" s="39"/>
    </row>
    <row r="494" spans="4:11" x14ac:dyDescent="0.25">
      <c r="D494" s="39"/>
      <c r="E494" s="42"/>
      <c r="F494" s="43"/>
      <c r="G494" s="38"/>
      <c r="I494" s="38"/>
      <c r="J494" s="39"/>
      <c r="K494" s="39"/>
    </row>
    <row r="495" spans="4:11" x14ac:dyDescent="0.25">
      <c r="D495" s="39"/>
      <c r="E495" s="42"/>
      <c r="F495" s="43"/>
      <c r="G495" s="38"/>
      <c r="I495" s="38"/>
      <c r="J495" s="39"/>
      <c r="K495" s="39"/>
    </row>
    <row r="496" spans="4:11" x14ac:dyDescent="0.25">
      <c r="D496" s="39"/>
      <c r="E496" s="42"/>
      <c r="F496" s="43"/>
      <c r="G496" s="38"/>
      <c r="I496" s="38"/>
      <c r="J496" s="39"/>
      <c r="K496" s="39"/>
    </row>
    <row r="497" spans="4:11" x14ac:dyDescent="0.25">
      <c r="D497" s="39"/>
      <c r="E497" s="42"/>
      <c r="F497" s="43"/>
      <c r="G497" s="38"/>
      <c r="I497" s="38"/>
      <c r="J497" s="39"/>
      <c r="K497" s="39"/>
    </row>
    <row r="498" spans="4:11" x14ac:dyDescent="0.25">
      <c r="D498" s="39"/>
      <c r="E498" s="42"/>
      <c r="F498" s="43"/>
      <c r="G498" s="38"/>
      <c r="I498" s="38"/>
      <c r="J498" s="39"/>
      <c r="K498" s="39"/>
    </row>
    <row r="499" spans="4:11" x14ac:dyDescent="0.25">
      <c r="D499" s="39"/>
      <c r="E499" s="42"/>
      <c r="F499" s="43"/>
      <c r="G499" s="38"/>
      <c r="I499" s="38"/>
      <c r="J499" s="39"/>
      <c r="K499" s="39"/>
    </row>
    <row r="500" spans="4:11" x14ac:dyDescent="0.25">
      <c r="D500" s="39"/>
      <c r="E500" s="42"/>
      <c r="F500" s="43"/>
      <c r="G500" s="38"/>
      <c r="I500" s="38"/>
      <c r="J500" s="39"/>
      <c r="K500" s="39"/>
    </row>
    <row r="501" spans="4:11" x14ac:dyDescent="0.25">
      <c r="D501" s="39"/>
      <c r="E501" s="42"/>
      <c r="F501" s="43"/>
      <c r="G501" s="38"/>
      <c r="I501" s="38"/>
      <c r="J501" s="39"/>
      <c r="K501" s="39"/>
    </row>
    <row r="502" spans="4:11" x14ac:dyDescent="0.25">
      <c r="D502" s="39"/>
      <c r="E502" s="42"/>
      <c r="F502" s="43"/>
      <c r="G502" s="38"/>
      <c r="I502" s="38"/>
      <c r="J502" s="39"/>
      <c r="K502" s="39"/>
    </row>
    <row r="503" spans="4:11" x14ac:dyDescent="0.25">
      <c r="D503" s="39"/>
      <c r="E503" s="42"/>
      <c r="F503" s="43"/>
      <c r="G503" s="38"/>
      <c r="I503" s="38"/>
      <c r="J503" s="39"/>
      <c r="K503" s="39"/>
    </row>
    <row r="504" spans="4:11" x14ac:dyDescent="0.25">
      <c r="D504" s="39"/>
      <c r="E504" s="42"/>
      <c r="F504" s="43"/>
      <c r="G504" s="38"/>
      <c r="I504" s="38"/>
      <c r="J504" s="39"/>
      <c r="K504" s="39"/>
    </row>
    <row r="505" spans="4:11" x14ac:dyDescent="0.25">
      <c r="D505" s="39"/>
      <c r="E505" s="42"/>
      <c r="F505" s="43"/>
      <c r="G505" s="38"/>
      <c r="I505" s="38"/>
      <c r="J505" s="39"/>
      <c r="K505" s="39"/>
    </row>
    <row r="506" spans="4:11" x14ac:dyDescent="0.25">
      <c r="D506" s="39"/>
      <c r="E506" s="42"/>
      <c r="F506" s="43"/>
      <c r="G506" s="38"/>
      <c r="I506" s="38"/>
      <c r="J506" s="39"/>
      <c r="K506" s="39"/>
    </row>
    <row r="507" spans="4:11" x14ac:dyDescent="0.25">
      <c r="D507" s="39"/>
      <c r="E507" s="42"/>
      <c r="F507" s="43"/>
      <c r="G507" s="38"/>
      <c r="I507" s="38"/>
      <c r="J507" s="39"/>
      <c r="K507" s="39"/>
    </row>
    <row r="508" spans="4:11" x14ac:dyDescent="0.25">
      <c r="D508" s="39"/>
      <c r="E508" s="42"/>
      <c r="F508" s="43"/>
      <c r="G508" s="38"/>
      <c r="I508" s="38"/>
      <c r="J508" s="39"/>
      <c r="K508" s="39"/>
    </row>
    <row r="509" spans="4:11" x14ac:dyDescent="0.25">
      <c r="D509" s="39"/>
      <c r="E509" s="42"/>
      <c r="F509" s="43"/>
      <c r="G509" s="38"/>
      <c r="I509" s="38"/>
      <c r="J509" s="39"/>
      <c r="K509" s="39"/>
    </row>
    <row r="510" spans="4:11" x14ac:dyDescent="0.25">
      <c r="D510" s="39"/>
      <c r="E510" s="42"/>
      <c r="F510" s="43"/>
      <c r="G510" s="38"/>
      <c r="I510" s="38"/>
      <c r="J510" s="39"/>
      <c r="K510" s="39"/>
    </row>
    <row r="511" spans="4:11" x14ac:dyDescent="0.25">
      <c r="D511" s="39"/>
      <c r="E511" s="42"/>
      <c r="F511" s="43"/>
      <c r="G511" s="38"/>
      <c r="I511" s="38"/>
      <c r="J511" s="39"/>
      <c r="K511" s="39"/>
    </row>
    <row r="512" spans="4:11" x14ac:dyDescent="0.25">
      <c r="D512" s="39"/>
      <c r="E512" s="42"/>
      <c r="F512" s="43"/>
      <c r="G512" s="38"/>
      <c r="I512" s="38"/>
      <c r="J512" s="39"/>
      <c r="K512" s="39"/>
    </row>
    <row r="513" spans="4:11" x14ac:dyDescent="0.25">
      <c r="D513" s="39"/>
      <c r="E513" s="42"/>
      <c r="F513" s="43"/>
      <c r="G513" s="38"/>
      <c r="I513" s="38"/>
      <c r="J513" s="39"/>
      <c r="K513" s="39"/>
    </row>
    <row r="514" spans="4:11" x14ac:dyDescent="0.25">
      <c r="D514" s="39"/>
      <c r="E514" s="42"/>
      <c r="F514" s="43"/>
      <c r="G514" s="38"/>
      <c r="I514" s="38"/>
      <c r="J514" s="39"/>
      <c r="K514" s="39"/>
    </row>
    <row r="515" spans="4:11" x14ac:dyDescent="0.25">
      <c r="D515" s="39"/>
      <c r="E515" s="42"/>
      <c r="F515" s="43"/>
      <c r="G515" s="38"/>
      <c r="I515" s="38"/>
      <c r="J515" s="39"/>
      <c r="K515" s="39"/>
    </row>
    <row r="516" spans="4:11" x14ac:dyDescent="0.25">
      <c r="D516" s="39"/>
      <c r="E516" s="42"/>
      <c r="F516" s="43"/>
      <c r="G516" s="38"/>
      <c r="I516" s="38"/>
      <c r="J516" s="39"/>
      <c r="K516" s="39"/>
    </row>
    <row r="517" spans="4:11" x14ac:dyDescent="0.25">
      <c r="D517" s="39"/>
      <c r="E517" s="42"/>
      <c r="F517" s="43"/>
      <c r="G517" s="38"/>
      <c r="I517" s="38"/>
      <c r="J517" s="39"/>
      <c r="K517" s="39"/>
    </row>
    <row r="518" spans="4:11" x14ac:dyDescent="0.25">
      <c r="D518" s="39"/>
      <c r="E518" s="42"/>
      <c r="F518" s="43"/>
      <c r="G518" s="38"/>
      <c r="I518" s="38"/>
      <c r="J518" s="39"/>
      <c r="K518" s="39"/>
    </row>
    <row r="519" spans="4:11" x14ac:dyDescent="0.25">
      <c r="D519" s="39"/>
      <c r="E519" s="42"/>
      <c r="F519" s="43"/>
      <c r="G519" s="38"/>
      <c r="I519" s="38"/>
      <c r="J519" s="39"/>
      <c r="K519" s="39"/>
    </row>
    <row r="520" spans="4:11" x14ac:dyDescent="0.25">
      <c r="D520" s="39"/>
      <c r="E520" s="42"/>
      <c r="F520" s="43"/>
      <c r="G520" s="38"/>
      <c r="I520" s="38"/>
      <c r="J520" s="39"/>
      <c r="K520" s="39"/>
    </row>
    <row r="521" spans="4:11" x14ac:dyDescent="0.25">
      <c r="D521" s="39"/>
      <c r="E521" s="42"/>
      <c r="F521" s="43"/>
      <c r="G521" s="38"/>
      <c r="I521" s="38"/>
      <c r="J521" s="39"/>
      <c r="K521" s="39"/>
    </row>
    <row r="522" spans="4:11" x14ac:dyDescent="0.25">
      <c r="D522" s="39"/>
      <c r="E522" s="42"/>
      <c r="F522" s="43"/>
      <c r="G522" s="38"/>
      <c r="I522" s="38"/>
      <c r="J522" s="39"/>
      <c r="K522" s="39"/>
    </row>
    <row r="523" spans="4:11" x14ac:dyDescent="0.25">
      <c r="D523" s="39"/>
      <c r="E523" s="42"/>
      <c r="F523" s="43"/>
      <c r="G523" s="38"/>
      <c r="I523" s="38"/>
      <c r="J523" s="39"/>
      <c r="K523" s="39"/>
    </row>
    <row r="524" spans="4:11" x14ac:dyDescent="0.25">
      <c r="D524" s="39"/>
      <c r="E524" s="42"/>
      <c r="F524" s="43"/>
      <c r="G524" s="38"/>
      <c r="I524" s="38"/>
      <c r="J524" s="39"/>
      <c r="K524" s="39"/>
    </row>
    <row r="525" spans="4:11" x14ac:dyDescent="0.25">
      <c r="D525" s="39"/>
      <c r="E525" s="42"/>
      <c r="F525" s="43"/>
      <c r="G525" s="38"/>
      <c r="I525" s="38"/>
      <c r="J525" s="39"/>
      <c r="K525" s="39"/>
    </row>
    <row r="526" spans="4:11" x14ac:dyDescent="0.25">
      <c r="D526" s="39"/>
      <c r="E526" s="42"/>
      <c r="F526" s="43"/>
      <c r="G526" s="38"/>
      <c r="I526" s="38"/>
      <c r="J526" s="39"/>
      <c r="K526" s="39"/>
    </row>
    <row r="527" spans="4:11" x14ac:dyDescent="0.25">
      <c r="D527" s="39"/>
      <c r="E527" s="42"/>
      <c r="F527" s="43"/>
      <c r="G527" s="38"/>
      <c r="I527" s="38"/>
      <c r="J527" s="39"/>
      <c r="K527" s="39"/>
    </row>
    <row r="528" spans="4:11" x14ac:dyDescent="0.25">
      <c r="D528" s="39"/>
      <c r="E528" s="42"/>
      <c r="F528" s="43"/>
      <c r="G528" s="38"/>
      <c r="I528" s="38"/>
      <c r="J528" s="39"/>
      <c r="K528" s="39"/>
    </row>
    <row r="529" spans="4:11" x14ac:dyDescent="0.25">
      <c r="D529" s="39"/>
      <c r="E529" s="42"/>
      <c r="F529" s="43"/>
      <c r="G529" s="38"/>
      <c r="I529" s="38"/>
      <c r="J529" s="39"/>
      <c r="K529" s="39"/>
    </row>
    <row r="530" spans="4:11" x14ac:dyDescent="0.25">
      <c r="D530" s="39"/>
      <c r="E530" s="42"/>
      <c r="F530" s="43"/>
      <c r="G530" s="38"/>
      <c r="I530" s="38"/>
      <c r="J530" s="39"/>
      <c r="K530" s="39"/>
    </row>
    <row r="531" spans="4:11" x14ac:dyDescent="0.25">
      <c r="D531" s="39"/>
      <c r="E531" s="42"/>
      <c r="F531" s="43"/>
      <c r="G531" s="38"/>
      <c r="I531" s="38"/>
      <c r="J531" s="39"/>
      <c r="K531" s="39"/>
    </row>
    <row r="532" spans="4:11" x14ac:dyDescent="0.25">
      <c r="D532" s="39"/>
      <c r="E532" s="42"/>
      <c r="F532" s="43"/>
      <c r="G532" s="38"/>
      <c r="I532" s="38"/>
      <c r="J532" s="39"/>
      <c r="K532" s="39"/>
    </row>
    <row r="533" spans="4:11" x14ac:dyDescent="0.25">
      <c r="D533" s="39"/>
      <c r="E533" s="42"/>
      <c r="F533" s="43"/>
      <c r="G533" s="38"/>
      <c r="I533" s="38"/>
      <c r="J533" s="39"/>
      <c r="K533" s="39"/>
    </row>
    <row r="534" spans="4:11" x14ac:dyDescent="0.25">
      <c r="D534" s="39"/>
      <c r="E534" s="42"/>
      <c r="F534" s="43"/>
      <c r="G534" s="38"/>
      <c r="I534" s="38"/>
      <c r="J534" s="39"/>
      <c r="K534" s="39"/>
    </row>
    <row r="535" spans="4:11" x14ac:dyDescent="0.25">
      <c r="D535" s="39"/>
      <c r="E535" s="42"/>
      <c r="F535" s="43"/>
      <c r="G535" s="38"/>
      <c r="I535" s="38"/>
      <c r="J535" s="39"/>
      <c r="K535" s="39"/>
    </row>
    <row r="536" spans="4:11" x14ac:dyDescent="0.25">
      <c r="D536" s="39"/>
      <c r="E536" s="42"/>
      <c r="F536" s="43"/>
      <c r="G536" s="38"/>
      <c r="I536" s="38"/>
      <c r="J536" s="39"/>
      <c r="K536" s="39"/>
    </row>
    <row r="537" spans="4:11" x14ac:dyDescent="0.25">
      <c r="D537" s="39"/>
      <c r="E537" s="42"/>
      <c r="F537" s="43"/>
      <c r="G537" s="38"/>
      <c r="I537" s="38"/>
      <c r="J537" s="39"/>
      <c r="K537" s="39"/>
    </row>
    <row r="538" spans="4:11" x14ac:dyDescent="0.25">
      <c r="D538" s="39"/>
      <c r="E538" s="42"/>
      <c r="F538" s="43"/>
      <c r="G538" s="38"/>
      <c r="I538" s="38"/>
      <c r="J538" s="39"/>
      <c r="K538" s="39"/>
    </row>
    <row r="539" spans="4:11" x14ac:dyDescent="0.25">
      <c r="D539" s="39"/>
      <c r="E539" s="42"/>
      <c r="F539" s="43"/>
      <c r="G539" s="38"/>
      <c r="I539" s="38"/>
      <c r="J539" s="39"/>
      <c r="K539" s="39"/>
    </row>
    <row r="540" spans="4:11" x14ac:dyDescent="0.25">
      <c r="D540" s="39"/>
      <c r="E540" s="42"/>
      <c r="F540" s="43"/>
      <c r="G540" s="38"/>
      <c r="I540" s="38"/>
      <c r="J540" s="39"/>
      <c r="K540" s="39"/>
    </row>
    <row r="541" spans="4:11" x14ac:dyDescent="0.25">
      <c r="D541" s="39"/>
      <c r="E541" s="42"/>
      <c r="F541" s="43"/>
      <c r="G541" s="38"/>
      <c r="I541" s="38"/>
      <c r="J541" s="39"/>
      <c r="K541" s="39"/>
    </row>
    <row r="542" spans="4:11" x14ac:dyDescent="0.25">
      <c r="D542" s="39"/>
      <c r="E542" s="42"/>
      <c r="F542" s="43"/>
      <c r="G542" s="38"/>
      <c r="I542" s="38"/>
      <c r="J542" s="39"/>
      <c r="K542" s="39"/>
    </row>
    <row r="543" spans="4:11" x14ac:dyDescent="0.25">
      <c r="D543" s="39"/>
      <c r="E543" s="42"/>
      <c r="F543" s="43"/>
      <c r="G543" s="38"/>
      <c r="I543" s="38"/>
      <c r="J543" s="39"/>
      <c r="K543" s="39"/>
    </row>
    <row r="544" spans="4:11" x14ac:dyDescent="0.25">
      <c r="D544" s="39"/>
      <c r="E544" s="42"/>
      <c r="F544" s="43"/>
      <c r="G544" s="38"/>
      <c r="I544" s="38"/>
      <c r="J544" s="39"/>
      <c r="K544" s="39"/>
    </row>
    <row r="545" spans="4:11" x14ac:dyDescent="0.25">
      <c r="D545" s="39"/>
      <c r="E545" s="42"/>
      <c r="F545" s="43"/>
      <c r="G545" s="38"/>
      <c r="I545" s="38"/>
      <c r="J545" s="39"/>
      <c r="K545" s="39"/>
    </row>
    <row r="546" spans="4:11" x14ac:dyDescent="0.25">
      <c r="D546" s="39"/>
      <c r="E546" s="42"/>
      <c r="F546" s="43"/>
      <c r="G546" s="38"/>
      <c r="I546" s="38"/>
      <c r="J546" s="39"/>
      <c r="K546" s="39"/>
    </row>
    <row r="547" spans="4:11" x14ac:dyDescent="0.25">
      <c r="D547" s="39"/>
      <c r="E547" s="42"/>
      <c r="F547" s="43"/>
      <c r="G547" s="38"/>
      <c r="I547" s="38"/>
      <c r="J547" s="39"/>
      <c r="K547" s="39"/>
    </row>
    <row r="548" spans="4:11" x14ac:dyDescent="0.25">
      <c r="D548" s="39"/>
      <c r="E548" s="42"/>
      <c r="F548" s="43"/>
      <c r="G548" s="38"/>
      <c r="I548" s="38"/>
      <c r="J548" s="39"/>
      <c r="K548" s="39"/>
    </row>
    <row r="549" spans="4:11" x14ac:dyDescent="0.25">
      <c r="D549" s="39"/>
      <c r="E549" s="42"/>
      <c r="F549" s="43"/>
      <c r="G549" s="38"/>
      <c r="I549" s="38"/>
      <c r="J549" s="39"/>
      <c r="K549" s="39"/>
    </row>
    <row r="550" spans="4:11" x14ac:dyDescent="0.25">
      <c r="D550" s="39"/>
      <c r="E550" s="42"/>
      <c r="F550" s="43"/>
      <c r="G550" s="38"/>
      <c r="I550" s="38"/>
      <c r="J550" s="39"/>
      <c r="K550" s="39"/>
    </row>
    <row r="551" spans="4:11" x14ac:dyDescent="0.25">
      <c r="D551" s="39"/>
      <c r="E551" s="42"/>
      <c r="F551" s="43"/>
      <c r="G551" s="38"/>
      <c r="I551" s="38"/>
      <c r="J551" s="39"/>
      <c r="K551" s="39"/>
    </row>
    <row r="552" spans="4:11" x14ac:dyDescent="0.25">
      <c r="D552" s="39"/>
      <c r="E552" s="42"/>
      <c r="F552" s="43"/>
      <c r="G552" s="38"/>
      <c r="I552" s="38"/>
      <c r="J552" s="39"/>
      <c r="K552" s="39"/>
    </row>
    <row r="553" spans="4:11" x14ac:dyDescent="0.25">
      <c r="D553" s="39"/>
      <c r="E553" s="42"/>
      <c r="F553" s="43"/>
      <c r="G553" s="38"/>
      <c r="I553" s="38"/>
      <c r="J553" s="39"/>
      <c r="K553" s="39"/>
    </row>
    <row r="554" spans="4:11" x14ac:dyDescent="0.25">
      <c r="D554" s="39"/>
      <c r="E554" s="42"/>
      <c r="F554" s="43"/>
      <c r="G554" s="38"/>
      <c r="I554" s="38"/>
      <c r="J554" s="39"/>
      <c r="K554" s="39"/>
    </row>
    <row r="555" spans="4:11" x14ac:dyDescent="0.25">
      <c r="D555" s="39"/>
      <c r="E555" s="42"/>
      <c r="F555" s="43"/>
      <c r="G555" s="38"/>
      <c r="I555" s="38"/>
      <c r="J555" s="39"/>
      <c r="K555" s="39"/>
    </row>
    <row r="556" spans="4:11" x14ac:dyDescent="0.25">
      <c r="D556" s="39"/>
      <c r="E556" s="42"/>
      <c r="F556" s="43"/>
      <c r="G556" s="38"/>
      <c r="I556" s="38"/>
      <c r="J556" s="39"/>
      <c r="K556" s="39"/>
    </row>
    <row r="557" spans="4:11" x14ac:dyDescent="0.25">
      <c r="D557" s="39"/>
      <c r="E557" s="42"/>
      <c r="F557" s="43"/>
      <c r="G557" s="38"/>
      <c r="I557" s="38"/>
      <c r="J557" s="39"/>
      <c r="K557" s="39"/>
    </row>
    <row r="558" spans="4:11" x14ac:dyDescent="0.25">
      <c r="D558" s="39"/>
      <c r="E558" s="42"/>
      <c r="F558" s="43"/>
      <c r="G558" s="38"/>
      <c r="I558" s="38"/>
      <c r="J558" s="39"/>
      <c r="K558" s="39"/>
    </row>
    <row r="559" spans="4:11" x14ac:dyDescent="0.25">
      <c r="D559" s="39"/>
      <c r="E559" s="42"/>
      <c r="F559" s="43"/>
      <c r="G559" s="38"/>
      <c r="I559" s="38"/>
      <c r="J559" s="39"/>
      <c r="K559" s="39"/>
    </row>
    <row r="560" spans="4:11" x14ac:dyDescent="0.25">
      <c r="D560" s="39"/>
      <c r="E560" s="42"/>
      <c r="F560" s="43"/>
      <c r="G560" s="38"/>
      <c r="I560" s="38"/>
      <c r="J560" s="39"/>
      <c r="K560" s="39"/>
    </row>
    <row r="561" spans="4:11" x14ac:dyDescent="0.25">
      <c r="D561" s="39"/>
      <c r="E561" s="42"/>
      <c r="F561" s="43"/>
      <c r="G561" s="38"/>
      <c r="I561" s="38"/>
      <c r="J561" s="39"/>
      <c r="K561" s="39"/>
    </row>
    <row r="562" spans="4:11" x14ac:dyDescent="0.25">
      <c r="D562" s="39"/>
      <c r="E562" s="42"/>
      <c r="F562" s="43"/>
      <c r="G562" s="38"/>
      <c r="I562" s="38"/>
      <c r="J562" s="39"/>
      <c r="K562" s="39"/>
    </row>
    <row r="563" spans="4:11" x14ac:dyDescent="0.25">
      <c r="D563" s="39"/>
      <c r="E563" s="42"/>
      <c r="F563" s="43"/>
      <c r="G563" s="38"/>
      <c r="I563" s="38"/>
      <c r="J563" s="39"/>
      <c r="K563" s="39"/>
    </row>
    <row r="564" spans="4:11" x14ac:dyDescent="0.25">
      <c r="D564" s="39"/>
      <c r="E564" s="42"/>
      <c r="F564" s="43"/>
      <c r="G564" s="38"/>
      <c r="I564" s="38"/>
      <c r="J564" s="39"/>
      <c r="K564" s="39"/>
    </row>
    <row r="565" spans="4:11" x14ac:dyDescent="0.25">
      <c r="D565" s="39"/>
      <c r="E565" s="42"/>
      <c r="F565" s="43"/>
      <c r="G565" s="38"/>
      <c r="I565" s="38"/>
      <c r="J565" s="39"/>
      <c r="K565" s="39"/>
    </row>
    <row r="566" spans="4:11" x14ac:dyDescent="0.25">
      <c r="D566" s="39"/>
      <c r="E566" s="42"/>
      <c r="F566" s="43"/>
      <c r="G566" s="38"/>
      <c r="I566" s="38"/>
      <c r="J566" s="39"/>
      <c r="K566" s="39"/>
    </row>
    <row r="567" spans="4:11" x14ac:dyDescent="0.25">
      <c r="D567" s="39"/>
      <c r="E567" s="42"/>
      <c r="F567" s="43"/>
      <c r="G567" s="38"/>
      <c r="I567" s="38"/>
      <c r="J567" s="39"/>
      <c r="K567" s="39"/>
    </row>
    <row r="568" spans="4:11" x14ac:dyDescent="0.25">
      <c r="D568" s="39"/>
      <c r="E568" s="42"/>
      <c r="F568" s="43"/>
      <c r="G568" s="38"/>
      <c r="I568" s="38"/>
      <c r="J568" s="39"/>
      <c r="K568" s="39"/>
    </row>
    <row r="569" spans="4:11" x14ac:dyDescent="0.25">
      <c r="D569" s="39"/>
      <c r="E569" s="42"/>
      <c r="F569" s="43"/>
      <c r="G569" s="38"/>
      <c r="I569" s="38"/>
      <c r="J569" s="39"/>
      <c r="K569" s="39"/>
    </row>
    <row r="570" spans="4:11" x14ac:dyDescent="0.25">
      <c r="D570" s="39"/>
      <c r="E570" s="42"/>
      <c r="F570" s="43"/>
      <c r="G570" s="38"/>
      <c r="I570" s="38"/>
      <c r="J570" s="39"/>
      <c r="K570" s="39"/>
    </row>
    <row r="571" spans="4:11" x14ac:dyDescent="0.25">
      <c r="D571" s="39"/>
      <c r="E571" s="42"/>
      <c r="F571" s="43"/>
      <c r="G571" s="38"/>
      <c r="I571" s="38"/>
      <c r="J571" s="39"/>
      <c r="K571" s="39"/>
    </row>
    <row r="572" spans="4:11" x14ac:dyDescent="0.25">
      <c r="D572" s="39"/>
      <c r="E572" s="42"/>
      <c r="F572" s="43"/>
      <c r="G572" s="38"/>
      <c r="I572" s="38"/>
      <c r="J572" s="39"/>
      <c r="K572" s="39"/>
    </row>
    <row r="573" spans="4:11" x14ac:dyDescent="0.25">
      <c r="D573" s="39"/>
      <c r="E573" s="42"/>
      <c r="F573" s="43"/>
      <c r="G573" s="38"/>
      <c r="I573" s="38"/>
      <c r="J573" s="39"/>
      <c r="K573" s="39"/>
    </row>
    <row r="574" spans="4:11" x14ac:dyDescent="0.25">
      <c r="D574" s="39"/>
      <c r="E574" s="42"/>
      <c r="F574" s="43"/>
      <c r="G574" s="38"/>
      <c r="I574" s="38"/>
      <c r="J574" s="39"/>
      <c r="K574" s="39"/>
    </row>
    <row r="575" spans="4:11" x14ac:dyDescent="0.25">
      <c r="D575" s="39"/>
      <c r="E575" s="42"/>
      <c r="F575" s="43"/>
      <c r="G575" s="38"/>
      <c r="I575" s="38"/>
      <c r="J575" s="39"/>
      <c r="K575" s="39"/>
    </row>
    <row r="576" spans="4:11" x14ac:dyDescent="0.25">
      <c r="D576" s="39"/>
      <c r="E576" s="42"/>
      <c r="F576" s="43"/>
      <c r="G576" s="38"/>
      <c r="I576" s="38"/>
      <c r="J576" s="39"/>
      <c r="K576" s="39"/>
    </row>
    <row r="577" spans="4:11" x14ac:dyDescent="0.25">
      <c r="D577" s="39"/>
      <c r="E577" s="42"/>
      <c r="F577" s="43"/>
      <c r="G577" s="38"/>
      <c r="I577" s="38"/>
      <c r="J577" s="39"/>
      <c r="K577" s="39"/>
    </row>
    <row r="578" spans="4:11" x14ac:dyDescent="0.25">
      <c r="D578" s="39"/>
      <c r="E578" s="42"/>
      <c r="F578" s="43"/>
      <c r="G578" s="38"/>
      <c r="I578" s="38"/>
      <c r="J578" s="39"/>
      <c r="K578" s="39"/>
    </row>
    <row r="579" spans="4:11" x14ac:dyDescent="0.25">
      <c r="D579" s="39"/>
      <c r="E579" s="42"/>
      <c r="F579" s="43"/>
      <c r="G579" s="38"/>
      <c r="I579" s="38"/>
      <c r="J579" s="39"/>
      <c r="K579" s="39"/>
    </row>
    <row r="580" spans="4:11" x14ac:dyDescent="0.25">
      <c r="D580" s="39"/>
      <c r="E580" s="42"/>
      <c r="F580" s="43"/>
      <c r="G580" s="38"/>
      <c r="I580" s="38"/>
      <c r="J580" s="39"/>
      <c r="K580" s="39"/>
    </row>
    <row r="581" spans="4:11" x14ac:dyDescent="0.25">
      <c r="D581" s="39"/>
      <c r="E581" s="42"/>
      <c r="F581" s="43"/>
      <c r="G581" s="38"/>
      <c r="I581" s="38"/>
      <c r="J581" s="39"/>
      <c r="K581" s="39"/>
    </row>
    <row r="582" spans="4:11" x14ac:dyDescent="0.25">
      <c r="D582" s="39"/>
      <c r="E582" s="42"/>
      <c r="F582" s="43"/>
      <c r="G582" s="38"/>
      <c r="I582" s="38"/>
      <c r="J582" s="39"/>
      <c r="K582" s="39"/>
    </row>
    <row r="583" spans="4:11" x14ac:dyDescent="0.25">
      <c r="D583" s="39"/>
      <c r="E583" s="42"/>
      <c r="F583" s="43"/>
      <c r="G583" s="38"/>
      <c r="I583" s="38"/>
      <c r="J583" s="39"/>
      <c r="K583" s="39"/>
    </row>
    <row r="584" spans="4:11" x14ac:dyDescent="0.25">
      <c r="D584" s="39"/>
      <c r="E584" s="42"/>
      <c r="F584" s="43"/>
      <c r="G584" s="38"/>
      <c r="I584" s="38"/>
      <c r="J584" s="39"/>
      <c r="K584" s="39"/>
    </row>
    <row r="585" spans="4:11" x14ac:dyDescent="0.25">
      <c r="D585" s="39"/>
      <c r="E585" s="42"/>
      <c r="F585" s="43"/>
      <c r="G585" s="38"/>
      <c r="I585" s="38"/>
      <c r="J585" s="39"/>
      <c r="K585" s="39"/>
    </row>
    <row r="586" spans="4:11" x14ac:dyDescent="0.25">
      <c r="D586" s="39"/>
      <c r="E586" s="42"/>
      <c r="F586" s="43"/>
      <c r="G586" s="38"/>
      <c r="I586" s="38"/>
      <c r="J586" s="39"/>
      <c r="K586" s="39"/>
    </row>
    <row r="587" spans="4:11" x14ac:dyDescent="0.25">
      <c r="D587" s="39"/>
      <c r="E587" s="42"/>
      <c r="F587" s="43"/>
      <c r="G587" s="38"/>
      <c r="I587" s="38"/>
      <c r="J587" s="39"/>
      <c r="K587" s="39"/>
    </row>
    <row r="588" spans="4:11" x14ac:dyDescent="0.25">
      <c r="D588" s="39"/>
      <c r="E588" s="42"/>
      <c r="F588" s="43"/>
      <c r="G588" s="38"/>
      <c r="I588" s="38"/>
      <c r="J588" s="39"/>
      <c r="K588" s="39"/>
    </row>
    <row r="589" spans="4:11" x14ac:dyDescent="0.25">
      <c r="D589" s="39"/>
      <c r="E589" s="42"/>
      <c r="F589" s="43"/>
      <c r="G589" s="38"/>
      <c r="I589" s="38"/>
      <c r="J589" s="39"/>
      <c r="K589" s="39"/>
    </row>
    <row r="590" spans="4:11" x14ac:dyDescent="0.25">
      <c r="D590" s="39"/>
      <c r="E590" s="42"/>
      <c r="F590" s="43"/>
      <c r="G590" s="38"/>
      <c r="I590" s="38"/>
      <c r="J590" s="39"/>
      <c r="K590" s="39"/>
    </row>
    <row r="591" spans="4:11" x14ac:dyDescent="0.25">
      <c r="D591" s="39"/>
      <c r="E591" s="42"/>
      <c r="F591" s="43"/>
      <c r="G591" s="38"/>
      <c r="I591" s="38"/>
      <c r="J591" s="39"/>
      <c r="K591" s="39"/>
    </row>
    <row r="592" spans="4:11" x14ac:dyDescent="0.25">
      <c r="D592" s="39"/>
      <c r="E592" s="42"/>
      <c r="F592" s="43"/>
      <c r="G592" s="38"/>
      <c r="I592" s="38"/>
      <c r="J592" s="39"/>
      <c r="K592" s="39"/>
    </row>
    <row r="593" spans="4:11" x14ac:dyDescent="0.25">
      <c r="D593" s="39"/>
      <c r="E593" s="42"/>
      <c r="F593" s="43"/>
      <c r="G593" s="38"/>
      <c r="I593" s="38"/>
      <c r="J593" s="39"/>
      <c r="K593" s="39"/>
    </row>
    <row r="594" spans="4:11" x14ac:dyDescent="0.25">
      <c r="D594" s="39"/>
      <c r="E594" s="42"/>
      <c r="F594" s="43"/>
      <c r="G594" s="38"/>
      <c r="I594" s="38"/>
      <c r="J594" s="39"/>
      <c r="K594" s="39"/>
    </row>
    <row r="595" spans="4:11" x14ac:dyDescent="0.25">
      <c r="D595" s="39"/>
      <c r="E595" s="42"/>
      <c r="F595" s="43"/>
      <c r="G595" s="38"/>
      <c r="I595" s="38"/>
      <c r="J595" s="39"/>
      <c r="K595" s="39"/>
    </row>
    <row r="596" spans="4:11" x14ac:dyDescent="0.25">
      <c r="D596" s="39"/>
      <c r="E596" s="42"/>
      <c r="F596" s="43"/>
      <c r="G596" s="38"/>
      <c r="I596" s="38"/>
      <c r="J596" s="39"/>
      <c r="K596" s="39"/>
    </row>
    <row r="597" spans="4:11" x14ac:dyDescent="0.25">
      <c r="D597" s="39"/>
      <c r="E597" s="42"/>
      <c r="F597" s="43"/>
      <c r="G597" s="38"/>
      <c r="I597" s="38"/>
      <c r="J597" s="39"/>
      <c r="K597" s="39"/>
    </row>
    <row r="598" spans="4:11" x14ac:dyDescent="0.25">
      <c r="D598" s="39"/>
      <c r="E598" s="42"/>
      <c r="F598" s="43"/>
      <c r="G598" s="38"/>
      <c r="I598" s="38"/>
      <c r="J598" s="39"/>
      <c r="K598" s="39"/>
    </row>
    <row r="599" spans="4:11" x14ac:dyDescent="0.25">
      <c r="D599" s="39"/>
      <c r="E599" s="42"/>
      <c r="F599" s="43"/>
      <c r="G599" s="38"/>
      <c r="I599" s="38"/>
      <c r="J599" s="39"/>
      <c r="K599" s="39"/>
    </row>
    <row r="600" spans="4:11" x14ac:dyDescent="0.25">
      <c r="D600" s="39"/>
      <c r="E600" s="42"/>
      <c r="F600" s="43"/>
      <c r="G600" s="38"/>
      <c r="I600" s="38"/>
      <c r="J600" s="39"/>
      <c r="K600" s="39"/>
    </row>
    <row r="601" spans="4:11" x14ac:dyDescent="0.25">
      <c r="D601" s="39"/>
      <c r="E601" s="42"/>
      <c r="F601" s="43"/>
      <c r="G601" s="38"/>
      <c r="I601" s="38"/>
      <c r="J601" s="39"/>
      <c r="K601" s="39"/>
    </row>
    <row r="602" spans="4:11" x14ac:dyDescent="0.25">
      <c r="D602" s="39"/>
      <c r="E602" s="42"/>
      <c r="F602" s="43"/>
      <c r="G602" s="38"/>
      <c r="I602" s="38"/>
      <c r="J602" s="39"/>
      <c r="K602" s="39"/>
    </row>
    <row r="603" spans="4:11" x14ac:dyDescent="0.25">
      <c r="D603" s="39"/>
      <c r="E603" s="42"/>
      <c r="F603" s="43"/>
      <c r="G603" s="38"/>
      <c r="I603" s="38"/>
      <c r="J603" s="39"/>
      <c r="K603" s="39"/>
    </row>
    <row r="604" spans="4:11" x14ac:dyDescent="0.25">
      <c r="D604" s="39"/>
      <c r="E604" s="42"/>
      <c r="F604" s="43"/>
      <c r="G604" s="38"/>
      <c r="I604" s="38"/>
      <c r="J604" s="39"/>
      <c r="K604" s="39"/>
    </row>
    <row r="605" spans="4:11" x14ac:dyDescent="0.25">
      <c r="D605" s="39"/>
      <c r="E605" s="42"/>
      <c r="F605" s="43"/>
      <c r="G605" s="38"/>
      <c r="I605" s="38"/>
      <c r="J605" s="39"/>
      <c r="K605" s="39"/>
    </row>
    <row r="606" spans="4:11" x14ac:dyDescent="0.25">
      <c r="D606" s="39"/>
      <c r="E606" s="42"/>
      <c r="F606" s="43"/>
      <c r="G606" s="38"/>
      <c r="I606" s="38"/>
      <c r="J606" s="39"/>
      <c r="K606" s="39"/>
    </row>
    <row r="607" spans="4:11" x14ac:dyDescent="0.25">
      <c r="D607" s="39"/>
      <c r="E607" s="42"/>
      <c r="F607" s="43"/>
      <c r="G607" s="38"/>
      <c r="I607" s="38"/>
      <c r="J607" s="39"/>
      <c r="K607" s="39"/>
    </row>
    <row r="608" spans="4:11" x14ac:dyDescent="0.25">
      <c r="D608" s="39"/>
      <c r="E608" s="42"/>
      <c r="F608" s="43"/>
      <c r="G608" s="38"/>
      <c r="I608" s="38"/>
      <c r="J608" s="39"/>
      <c r="K608" s="39"/>
    </row>
    <row r="609" spans="4:11" x14ac:dyDescent="0.25">
      <c r="D609" s="39"/>
      <c r="E609" s="42"/>
      <c r="F609" s="43"/>
      <c r="G609" s="38"/>
      <c r="I609" s="38"/>
      <c r="J609" s="39"/>
      <c r="K609" s="39"/>
    </row>
    <row r="610" spans="4:11" x14ac:dyDescent="0.25">
      <c r="D610" s="39"/>
      <c r="E610" s="42"/>
      <c r="F610" s="43"/>
      <c r="G610" s="38"/>
      <c r="I610" s="38"/>
      <c r="J610" s="39"/>
      <c r="K610" s="39"/>
    </row>
    <row r="611" spans="4:11" x14ac:dyDescent="0.25">
      <c r="D611" s="39"/>
      <c r="E611" s="42"/>
      <c r="F611" s="43"/>
      <c r="G611" s="38"/>
      <c r="I611" s="38"/>
      <c r="J611" s="39"/>
      <c r="K611" s="39"/>
    </row>
    <row r="612" spans="4:11" x14ac:dyDescent="0.25">
      <c r="D612" s="39"/>
      <c r="E612" s="42"/>
      <c r="F612" s="43"/>
      <c r="G612" s="38"/>
      <c r="I612" s="38"/>
      <c r="J612" s="39"/>
      <c r="K612" s="39"/>
    </row>
    <row r="613" spans="4:11" x14ac:dyDescent="0.25">
      <c r="D613" s="39"/>
      <c r="E613" s="42"/>
      <c r="F613" s="43"/>
      <c r="G613" s="38"/>
      <c r="I613" s="38"/>
      <c r="J613" s="39"/>
      <c r="K613" s="39"/>
    </row>
    <row r="614" spans="4:11" x14ac:dyDescent="0.25">
      <c r="D614" s="39"/>
      <c r="E614" s="42"/>
      <c r="F614" s="43"/>
      <c r="G614" s="38"/>
      <c r="I614" s="38"/>
      <c r="J614" s="39"/>
      <c r="K614" s="39"/>
    </row>
    <row r="615" spans="4:11" x14ac:dyDescent="0.25">
      <c r="D615" s="39"/>
      <c r="E615" s="42"/>
      <c r="F615" s="43"/>
      <c r="G615" s="38"/>
      <c r="I615" s="38"/>
      <c r="J615" s="39"/>
      <c r="K615" s="39"/>
    </row>
    <row r="616" spans="4:11" x14ac:dyDescent="0.25">
      <c r="D616" s="39"/>
      <c r="E616" s="42"/>
      <c r="F616" s="43"/>
      <c r="G616" s="38"/>
      <c r="I616" s="38"/>
      <c r="J616" s="39"/>
      <c r="K616" s="39"/>
    </row>
    <row r="617" spans="4:11" x14ac:dyDescent="0.25">
      <c r="D617" s="39"/>
      <c r="E617" s="42"/>
      <c r="F617" s="43"/>
      <c r="G617" s="38"/>
      <c r="I617" s="38"/>
      <c r="J617" s="39"/>
      <c r="K617" s="39"/>
    </row>
    <row r="618" spans="4:11" x14ac:dyDescent="0.25">
      <c r="D618" s="39"/>
      <c r="E618" s="42"/>
      <c r="F618" s="43"/>
      <c r="G618" s="38"/>
      <c r="I618" s="38"/>
      <c r="J618" s="39"/>
      <c r="K618" s="39"/>
    </row>
    <row r="619" spans="4:11" x14ac:dyDescent="0.25">
      <c r="D619" s="39"/>
      <c r="E619" s="42"/>
      <c r="F619" s="43"/>
      <c r="G619" s="38"/>
      <c r="I619" s="38"/>
      <c r="J619" s="39"/>
      <c r="K619" s="39"/>
    </row>
    <row r="620" spans="4:11" x14ac:dyDescent="0.25">
      <c r="D620" s="39"/>
      <c r="E620" s="42"/>
      <c r="F620" s="43"/>
      <c r="G620" s="38"/>
      <c r="I620" s="38"/>
      <c r="J620" s="39"/>
      <c r="K620" s="39"/>
    </row>
    <row r="621" spans="4:11" x14ac:dyDescent="0.25">
      <c r="D621" s="39"/>
      <c r="E621" s="42"/>
      <c r="F621" s="43"/>
      <c r="G621" s="38"/>
      <c r="I621" s="38"/>
      <c r="J621" s="39"/>
      <c r="K621" s="39"/>
    </row>
    <row r="622" spans="4:11" x14ac:dyDescent="0.25">
      <c r="D622" s="39"/>
      <c r="E622" s="42"/>
      <c r="F622" s="43"/>
      <c r="G622" s="38"/>
      <c r="I622" s="38"/>
      <c r="J622" s="39"/>
      <c r="K622" s="39"/>
    </row>
    <row r="623" spans="4:11" x14ac:dyDescent="0.25">
      <c r="D623" s="39"/>
      <c r="E623" s="42"/>
      <c r="F623" s="43"/>
      <c r="G623" s="38"/>
      <c r="I623" s="38"/>
      <c r="J623" s="39"/>
      <c r="K623" s="39"/>
    </row>
    <row r="624" spans="4:11" x14ac:dyDescent="0.25">
      <c r="D624" s="39"/>
      <c r="E624" s="42"/>
      <c r="F624" s="43"/>
      <c r="G624" s="38"/>
      <c r="I624" s="38"/>
      <c r="J624" s="39"/>
      <c r="K624" s="39"/>
    </row>
    <row r="625" spans="4:11" x14ac:dyDescent="0.25">
      <c r="D625" s="39"/>
      <c r="E625" s="42"/>
      <c r="F625" s="43"/>
      <c r="G625" s="38"/>
      <c r="I625" s="38"/>
      <c r="J625" s="39"/>
      <c r="K625" s="39"/>
    </row>
    <row r="626" spans="4:11" x14ac:dyDescent="0.25">
      <c r="D626" s="39"/>
      <c r="E626" s="42"/>
      <c r="F626" s="43"/>
      <c r="G626" s="38"/>
      <c r="I626" s="38"/>
      <c r="J626" s="39"/>
      <c r="K626" s="39"/>
    </row>
    <row r="627" spans="4:11" x14ac:dyDescent="0.25">
      <c r="D627" s="39"/>
      <c r="E627" s="42"/>
      <c r="F627" s="43"/>
      <c r="G627" s="38"/>
      <c r="I627" s="38"/>
      <c r="J627" s="39"/>
      <c r="K627" s="39"/>
    </row>
    <row r="628" spans="4:11" x14ac:dyDescent="0.25">
      <c r="D628" s="39"/>
      <c r="E628" s="42"/>
      <c r="F628" s="43"/>
      <c r="G628" s="38"/>
      <c r="I628" s="38"/>
      <c r="J628" s="39"/>
      <c r="K628" s="39"/>
    </row>
    <row r="629" spans="4:11" x14ac:dyDescent="0.25">
      <c r="D629" s="39"/>
      <c r="E629" s="42"/>
      <c r="F629" s="43"/>
      <c r="G629" s="38"/>
      <c r="I629" s="38"/>
      <c r="J629" s="39"/>
      <c r="K629" s="39"/>
    </row>
    <row r="630" spans="4:11" x14ac:dyDescent="0.25">
      <c r="D630" s="39"/>
      <c r="E630" s="42"/>
      <c r="F630" s="43"/>
      <c r="G630" s="38"/>
      <c r="I630" s="38"/>
      <c r="J630" s="39"/>
      <c r="K630" s="39"/>
    </row>
    <row r="631" spans="4:11" x14ac:dyDescent="0.25">
      <c r="D631" s="39"/>
      <c r="E631" s="42"/>
      <c r="F631" s="43"/>
      <c r="G631" s="38"/>
      <c r="I631" s="38"/>
      <c r="J631" s="39"/>
      <c r="K631" s="39"/>
    </row>
    <row r="632" spans="4:11" x14ac:dyDescent="0.25">
      <c r="D632" s="39"/>
      <c r="E632" s="42"/>
      <c r="F632" s="43"/>
      <c r="G632" s="38"/>
      <c r="I632" s="38"/>
      <c r="J632" s="39"/>
      <c r="K632" s="39"/>
    </row>
    <row r="633" spans="4:11" x14ac:dyDescent="0.25">
      <c r="D633" s="39"/>
      <c r="E633" s="42"/>
      <c r="F633" s="43"/>
      <c r="G633" s="38"/>
      <c r="I633" s="38"/>
      <c r="J633" s="39"/>
      <c r="K633" s="39"/>
    </row>
    <row r="634" spans="4:11" x14ac:dyDescent="0.25">
      <c r="D634" s="39"/>
      <c r="E634" s="42"/>
      <c r="F634" s="43"/>
      <c r="G634" s="38"/>
      <c r="I634" s="38"/>
      <c r="J634" s="39"/>
      <c r="K634" s="39"/>
    </row>
    <row r="635" spans="4:11" x14ac:dyDescent="0.25">
      <c r="D635" s="39"/>
      <c r="E635" s="42"/>
      <c r="F635" s="43"/>
      <c r="G635" s="38"/>
      <c r="I635" s="38"/>
      <c r="J635" s="39"/>
      <c r="K635" s="39"/>
    </row>
    <row r="636" spans="4:11" x14ac:dyDescent="0.25">
      <c r="D636" s="39"/>
      <c r="E636" s="42"/>
      <c r="F636" s="43"/>
      <c r="G636" s="38"/>
      <c r="I636" s="38"/>
      <c r="J636" s="39"/>
      <c r="K636" s="39"/>
    </row>
    <row r="637" spans="4:11" x14ac:dyDescent="0.25">
      <c r="D637" s="39"/>
      <c r="E637" s="42"/>
      <c r="F637" s="43"/>
      <c r="G637" s="38"/>
      <c r="I637" s="38"/>
      <c r="J637" s="39"/>
      <c r="K637" s="39"/>
    </row>
    <row r="638" spans="4:11" x14ac:dyDescent="0.25">
      <c r="D638" s="39"/>
      <c r="E638" s="42"/>
      <c r="F638" s="43"/>
      <c r="G638" s="38"/>
      <c r="I638" s="38"/>
      <c r="J638" s="39"/>
      <c r="K638" s="39"/>
    </row>
    <row r="639" spans="4:11" x14ac:dyDescent="0.25">
      <c r="D639" s="39"/>
      <c r="E639" s="42"/>
      <c r="F639" s="43"/>
      <c r="G639" s="38"/>
      <c r="I639" s="38"/>
      <c r="J639" s="39"/>
      <c r="K639" s="39"/>
    </row>
    <row r="640" spans="4:11" x14ac:dyDescent="0.25">
      <c r="D640" s="39"/>
      <c r="E640" s="42"/>
      <c r="F640" s="43"/>
      <c r="G640" s="38"/>
      <c r="I640" s="38"/>
      <c r="J640" s="39"/>
      <c r="K640" s="39"/>
    </row>
    <row r="641" spans="4:11" x14ac:dyDescent="0.25">
      <c r="D641" s="39"/>
      <c r="E641" s="42"/>
      <c r="F641" s="43"/>
      <c r="G641" s="38"/>
      <c r="I641" s="38"/>
      <c r="J641" s="39"/>
      <c r="K641" s="39"/>
    </row>
    <row r="642" spans="4:11" x14ac:dyDescent="0.25">
      <c r="D642" s="39"/>
      <c r="E642" s="42"/>
      <c r="F642" s="43"/>
      <c r="G642" s="38"/>
      <c r="I642" s="38"/>
      <c r="J642" s="39"/>
      <c r="K642" s="39"/>
    </row>
    <row r="643" spans="4:11" x14ac:dyDescent="0.25">
      <c r="D643" s="39"/>
      <c r="E643" s="42"/>
      <c r="F643" s="43"/>
      <c r="G643" s="38"/>
      <c r="I643" s="38"/>
      <c r="J643" s="39"/>
      <c r="K643" s="39"/>
    </row>
    <row r="644" spans="4:11" x14ac:dyDescent="0.25">
      <c r="D644" s="39"/>
      <c r="E644" s="42"/>
      <c r="F644" s="43"/>
      <c r="G644" s="38"/>
      <c r="I644" s="38"/>
      <c r="J644" s="39"/>
      <c r="K644" s="39"/>
    </row>
    <row r="645" spans="4:11" x14ac:dyDescent="0.25">
      <c r="D645" s="39"/>
      <c r="E645" s="42"/>
      <c r="F645" s="43"/>
      <c r="G645" s="38"/>
      <c r="I645" s="38"/>
      <c r="J645" s="39"/>
      <c r="K645" s="39"/>
    </row>
    <row r="646" spans="4:11" x14ac:dyDescent="0.25">
      <c r="D646" s="39"/>
      <c r="E646" s="42"/>
      <c r="F646" s="43"/>
      <c r="G646" s="38"/>
      <c r="I646" s="38"/>
      <c r="J646" s="39"/>
      <c r="K646" s="39"/>
    </row>
    <row r="647" spans="4:11" x14ac:dyDescent="0.25">
      <c r="D647" s="39"/>
      <c r="E647" s="42"/>
      <c r="F647" s="43"/>
      <c r="G647" s="38"/>
      <c r="I647" s="38"/>
      <c r="J647" s="39"/>
      <c r="K647" s="39"/>
    </row>
    <row r="648" spans="4:11" x14ac:dyDescent="0.25">
      <c r="D648" s="39"/>
      <c r="E648" s="42"/>
      <c r="F648" s="43"/>
      <c r="G648" s="38"/>
      <c r="I648" s="38"/>
      <c r="J648" s="39"/>
      <c r="K648" s="39"/>
    </row>
    <row r="649" spans="4:11" x14ac:dyDescent="0.25">
      <c r="D649" s="39"/>
      <c r="E649" s="42"/>
      <c r="F649" s="43"/>
      <c r="G649" s="38"/>
      <c r="I649" s="38"/>
      <c r="J649" s="39"/>
      <c r="K649" s="39"/>
    </row>
    <row r="650" spans="4:11" x14ac:dyDescent="0.25">
      <c r="D650" s="39"/>
      <c r="E650" s="42"/>
      <c r="F650" s="43"/>
      <c r="G650" s="38"/>
      <c r="I650" s="38"/>
      <c r="J650" s="39"/>
      <c r="K650" s="39"/>
    </row>
    <row r="651" spans="4:11" x14ac:dyDescent="0.25">
      <c r="D651" s="39"/>
      <c r="E651" s="42"/>
      <c r="F651" s="43"/>
      <c r="G651" s="38"/>
      <c r="I651" s="38"/>
      <c r="J651" s="39"/>
      <c r="K651" s="39"/>
    </row>
    <row r="652" spans="4:11" x14ac:dyDescent="0.25">
      <c r="D652" s="39"/>
      <c r="E652" s="42"/>
      <c r="F652" s="43"/>
      <c r="G652" s="38"/>
      <c r="I652" s="38"/>
      <c r="J652" s="39"/>
      <c r="K652" s="39"/>
    </row>
    <row r="653" spans="4:11" x14ac:dyDescent="0.25">
      <c r="D653" s="39"/>
      <c r="E653" s="42"/>
      <c r="F653" s="43"/>
      <c r="G653" s="38"/>
      <c r="I653" s="38"/>
      <c r="J653" s="39"/>
      <c r="K653" s="39"/>
    </row>
    <row r="654" spans="4:11" x14ac:dyDescent="0.25">
      <c r="D654" s="39"/>
      <c r="E654" s="42"/>
      <c r="F654" s="43"/>
      <c r="G654" s="38"/>
      <c r="I654" s="38"/>
      <c r="J654" s="39"/>
      <c r="K654" s="39"/>
    </row>
    <row r="655" spans="4:11" x14ac:dyDescent="0.25">
      <c r="D655" s="39"/>
      <c r="E655" s="42"/>
      <c r="F655" s="43"/>
      <c r="G655" s="38"/>
      <c r="I655" s="38"/>
      <c r="J655" s="39"/>
      <c r="K655" s="39"/>
    </row>
    <row r="656" spans="4:11" x14ac:dyDescent="0.25">
      <c r="D656" s="39"/>
      <c r="E656" s="42"/>
      <c r="F656" s="43"/>
      <c r="G656" s="38"/>
      <c r="I656" s="38"/>
      <c r="J656" s="39"/>
      <c r="K656" s="39"/>
    </row>
    <row r="657" spans="4:11" x14ac:dyDescent="0.25">
      <c r="D657" s="39"/>
      <c r="E657" s="42"/>
      <c r="F657" s="43"/>
      <c r="G657" s="38"/>
      <c r="I657" s="38"/>
      <c r="J657" s="39"/>
      <c r="K657" s="39"/>
    </row>
    <row r="658" spans="4:11" x14ac:dyDescent="0.25">
      <c r="D658" s="39"/>
      <c r="E658" s="42"/>
      <c r="F658" s="43"/>
      <c r="G658" s="38"/>
      <c r="I658" s="38"/>
      <c r="J658" s="39"/>
      <c r="K658" s="39"/>
    </row>
    <row r="659" spans="4:11" x14ac:dyDescent="0.25">
      <c r="D659" s="39"/>
      <c r="E659" s="42"/>
      <c r="F659" s="43"/>
      <c r="G659" s="38"/>
      <c r="I659" s="38"/>
      <c r="J659" s="39"/>
      <c r="K659" s="39"/>
    </row>
    <row r="660" spans="4:11" x14ac:dyDescent="0.25">
      <c r="D660" s="39"/>
      <c r="E660" s="42"/>
      <c r="F660" s="43"/>
      <c r="G660" s="38"/>
      <c r="I660" s="38"/>
      <c r="J660" s="39"/>
      <c r="K660" s="39"/>
    </row>
    <row r="661" spans="4:11" x14ac:dyDescent="0.25">
      <c r="D661" s="39"/>
      <c r="E661" s="42"/>
      <c r="F661" s="43"/>
      <c r="G661" s="38"/>
      <c r="I661" s="38"/>
      <c r="J661" s="39"/>
      <c r="K661" s="39"/>
    </row>
    <row r="662" spans="4:11" x14ac:dyDescent="0.25">
      <c r="D662" s="39"/>
      <c r="E662" s="42"/>
      <c r="F662" s="43"/>
      <c r="G662" s="38"/>
      <c r="I662" s="38"/>
      <c r="J662" s="39"/>
      <c r="K662" s="39"/>
    </row>
    <row r="663" spans="4:11" x14ac:dyDescent="0.25">
      <c r="D663" s="39"/>
      <c r="E663" s="42"/>
      <c r="F663" s="43"/>
      <c r="G663" s="38"/>
      <c r="I663" s="38"/>
      <c r="J663" s="39"/>
      <c r="K663" s="39"/>
    </row>
    <row r="664" spans="4:11" x14ac:dyDescent="0.25">
      <c r="D664" s="39"/>
      <c r="E664" s="42"/>
      <c r="F664" s="43"/>
      <c r="G664" s="38"/>
      <c r="I664" s="38"/>
      <c r="J664" s="39"/>
      <c r="K664" s="39"/>
    </row>
    <row r="665" spans="4:11" x14ac:dyDescent="0.25">
      <c r="D665" s="39"/>
      <c r="E665" s="42"/>
      <c r="F665" s="43"/>
      <c r="G665" s="38"/>
      <c r="I665" s="38"/>
      <c r="J665" s="39"/>
      <c r="K665" s="39"/>
    </row>
    <row r="666" spans="4:11" x14ac:dyDescent="0.25">
      <c r="D666" s="39"/>
      <c r="E666" s="42"/>
      <c r="F666" s="43"/>
      <c r="G666" s="38"/>
      <c r="I666" s="38"/>
      <c r="J666" s="39"/>
      <c r="K666" s="39"/>
    </row>
    <row r="667" spans="4:11" x14ac:dyDescent="0.25">
      <c r="D667" s="39"/>
      <c r="E667" s="42"/>
      <c r="F667" s="43"/>
      <c r="G667" s="38"/>
      <c r="I667" s="38"/>
      <c r="J667" s="39"/>
      <c r="K667" s="39"/>
    </row>
    <row r="668" spans="4:11" x14ac:dyDescent="0.25">
      <c r="D668" s="39"/>
      <c r="E668" s="42"/>
      <c r="F668" s="43"/>
      <c r="G668" s="38"/>
      <c r="I668" s="38"/>
      <c r="J668" s="39"/>
      <c r="K668" s="39"/>
    </row>
    <row r="669" spans="4:11" x14ac:dyDescent="0.25">
      <c r="D669" s="39"/>
      <c r="E669" s="42"/>
      <c r="F669" s="43"/>
      <c r="G669" s="38"/>
      <c r="I669" s="38"/>
      <c r="J669" s="39"/>
      <c r="K669" s="39"/>
    </row>
    <row r="670" spans="4:11" x14ac:dyDescent="0.25">
      <c r="D670" s="39"/>
      <c r="E670" s="42"/>
      <c r="F670" s="43"/>
      <c r="G670" s="38"/>
      <c r="I670" s="38"/>
      <c r="J670" s="39"/>
      <c r="K670" s="39"/>
    </row>
    <row r="671" spans="4:11" x14ac:dyDescent="0.25">
      <c r="D671" s="39"/>
      <c r="E671" s="42"/>
      <c r="F671" s="43"/>
      <c r="G671" s="38"/>
      <c r="I671" s="38"/>
      <c r="J671" s="39"/>
      <c r="K671" s="39"/>
    </row>
    <row r="672" spans="4:11" x14ac:dyDescent="0.25">
      <c r="D672" s="39"/>
      <c r="E672" s="42"/>
      <c r="F672" s="43"/>
      <c r="G672" s="38"/>
      <c r="I672" s="38"/>
      <c r="J672" s="39"/>
      <c r="K672" s="39"/>
    </row>
    <row r="673" spans="4:11" x14ac:dyDescent="0.25">
      <c r="D673" s="39"/>
      <c r="E673" s="42"/>
      <c r="F673" s="43"/>
      <c r="G673" s="38"/>
      <c r="I673" s="38"/>
      <c r="J673" s="39"/>
      <c r="K673" s="39"/>
    </row>
    <row r="674" spans="4:11" x14ac:dyDescent="0.25">
      <c r="D674" s="39"/>
      <c r="E674" s="42"/>
      <c r="F674" s="43"/>
      <c r="G674" s="38"/>
      <c r="I674" s="38"/>
      <c r="J674" s="39"/>
      <c r="K674" s="39"/>
    </row>
    <row r="675" spans="4:11" x14ac:dyDescent="0.25">
      <c r="D675" s="39"/>
      <c r="E675" s="42"/>
      <c r="F675" s="43"/>
      <c r="G675" s="38"/>
      <c r="I675" s="38"/>
      <c r="J675" s="39"/>
      <c r="K675" s="39"/>
    </row>
    <row r="676" spans="4:11" x14ac:dyDescent="0.25">
      <c r="D676" s="39"/>
      <c r="E676" s="42"/>
      <c r="F676" s="43"/>
      <c r="G676" s="38"/>
      <c r="I676" s="38"/>
      <c r="J676" s="39"/>
      <c r="K676" s="39"/>
    </row>
    <row r="677" spans="4:11" x14ac:dyDescent="0.25">
      <c r="D677" s="39"/>
      <c r="E677" s="42"/>
      <c r="F677" s="43"/>
      <c r="G677" s="38"/>
      <c r="I677" s="38"/>
      <c r="J677" s="39"/>
      <c r="K677" s="39"/>
    </row>
    <row r="678" spans="4:11" x14ac:dyDescent="0.25">
      <c r="D678" s="39"/>
      <c r="E678" s="42"/>
      <c r="F678" s="43"/>
      <c r="G678" s="38"/>
      <c r="I678" s="38"/>
      <c r="J678" s="39"/>
      <c r="K678" s="39"/>
    </row>
    <row r="679" spans="4:11" x14ac:dyDescent="0.25">
      <c r="D679" s="39"/>
      <c r="E679" s="42"/>
      <c r="F679" s="43"/>
      <c r="G679" s="38"/>
      <c r="I679" s="38"/>
      <c r="J679" s="39"/>
      <c r="K679" s="39"/>
    </row>
    <row r="680" spans="4:11" x14ac:dyDescent="0.25">
      <c r="D680" s="39"/>
      <c r="E680" s="42"/>
      <c r="F680" s="43"/>
      <c r="G680" s="38"/>
      <c r="I680" s="38"/>
      <c r="J680" s="39"/>
      <c r="K680" s="39"/>
    </row>
    <row r="681" spans="4:11" x14ac:dyDescent="0.25">
      <c r="D681" s="39"/>
      <c r="E681" s="42"/>
      <c r="F681" s="43"/>
      <c r="G681" s="38"/>
      <c r="I681" s="38"/>
      <c r="J681" s="39"/>
      <c r="K681" s="39"/>
    </row>
    <row r="682" spans="4:11" x14ac:dyDescent="0.25">
      <c r="D682" s="39"/>
      <c r="E682" s="42"/>
      <c r="F682" s="43"/>
      <c r="G682" s="38"/>
      <c r="I682" s="38"/>
      <c r="J682" s="39"/>
      <c r="K682" s="39"/>
    </row>
    <row r="683" spans="4:11" x14ac:dyDescent="0.25">
      <c r="D683" s="39"/>
      <c r="E683" s="42"/>
      <c r="F683" s="43"/>
      <c r="G683" s="38"/>
      <c r="I683" s="38"/>
      <c r="J683" s="39"/>
      <c r="K683" s="39"/>
    </row>
    <row r="684" spans="4:11" x14ac:dyDescent="0.25">
      <c r="D684" s="39"/>
      <c r="E684" s="42"/>
      <c r="F684" s="43"/>
      <c r="G684" s="38"/>
      <c r="I684" s="38"/>
      <c r="J684" s="39"/>
      <c r="K684" s="39"/>
    </row>
    <row r="685" spans="4:11" x14ac:dyDescent="0.25">
      <c r="D685" s="39"/>
      <c r="E685" s="42"/>
      <c r="F685" s="43"/>
      <c r="G685" s="38"/>
      <c r="I685" s="38"/>
      <c r="J685" s="39"/>
      <c r="K685" s="39"/>
    </row>
    <row r="686" spans="4:11" x14ac:dyDescent="0.25">
      <c r="D686" s="39"/>
      <c r="E686" s="42"/>
      <c r="F686" s="43"/>
      <c r="G686" s="38"/>
      <c r="I686" s="38"/>
      <c r="J686" s="39"/>
      <c r="K686" s="39"/>
    </row>
    <row r="687" spans="4:11" x14ac:dyDescent="0.25">
      <c r="D687" s="39"/>
      <c r="E687" s="42"/>
      <c r="F687" s="43"/>
      <c r="G687" s="38"/>
      <c r="I687" s="38"/>
      <c r="J687" s="39"/>
      <c r="K687" s="39"/>
    </row>
    <row r="688" spans="4:11" x14ac:dyDescent="0.25">
      <c r="D688" s="39"/>
      <c r="E688" s="42"/>
      <c r="F688" s="43"/>
      <c r="G688" s="38"/>
      <c r="I688" s="38"/>
      <c r="J688" s="39"/>
      <c r="K688" s="39"/>
    </row>
    <row r="689" spans="4:11" x14ac:dyDescent="0.25">
      <c r="D689" s="39"/>
      <c r="E689" s="42"/>
      <c r="F689" s="43"/>
      <c r="G689" s="38"/>
      <c r="I689" s="38"/>
      <c r="J689" s="39"/>
      <c r="K689" s="39"/>
    </row>
    <row r="690" spans="4:11" x14ac:dyDescent="0.25">
      <c r="D690" s="39"/>
      <c r="E690" s="42"/>
      <c r="F690" s="43"/>
      <c r="G690" s="38"/>
      <c r="I690" s="38"/>
      <c r="J690" s="39"/>
      <c r="K690" s="39"/>
    </row>
    <row r="691" spans="4:11" x14ac:dyDescent="0.25">
      <c r="D691" s="39"/>
      <c r="E691" s="42"/>
      <c r="F691" s="43"/>
      <c r="G691" s="38"/>
      <c r="I691" s="38"/>
      <c r="J691" s="39"/>
      <c r="K691" s="39"/>
    </row>
    <row r="692" spans="4:11" x14ac:dyDescent="0.25">
      <c r="D692" s="39"/>
      <c r="E692" s="42"/>
      <c r="F692" s="43"/>
      <c r="G692" s="38"/>
      <c r="I692" s="38"/>
      <c r="J692" s="39"/>
      <c r="K692" s="39"/>
    </row>
    <row r="693" spans="4:11" x14ac:dyDescent="0.25">
      <c r="D693" s="39"/>
      <c r="E693" s="42"/>
      <c r="F693" s="43"/>
      <c r="G693" s="38"/>
      <c r="I693" s="38"/>
      <c r="J693" s="39"/>
      <c r="K693" s="39"/>
    </row>
    <row r="694" spans="4:11" x14ac:dyDescent="0.25">
      <c r="D694" s="39"/>
      <c r="E694" s="42"/>
      <c r="F694" s="43"/>
      <c r="G694" s="38"/>
      <c r="I694" s="38"/>
      <c r="J694" s="39"/>
      <c r="K694" s="39"/>
    </row>
    <row r="695" spans="4:11" x14ac:dyDescent="0.25">
      <c r="D695" s="39"/>
      <c r="E695" s="42"/>
      <c r="F695" s="43"/>
      <c r="G695" s="38"/>
      <c r="I695" s="38"/>
      <c r="J695" s="39"/>
      <c r="K695" s="39"/>
    </row>
    <row r="696" spans="4:11" x14ac:dyDescent="0.25">
      <c r="D696" s="39"/>
      <c r="E696" s="42"/>
      <c r="F696" s="43"/>
      <c r="G696" s="38"/>
      <c r="I696" s="38"/>
      <c r="J696" s="39"/>
      <c r="K696" s="39"/>
    </row>
    <row r="697" spans="4:11" x14ac:dyDescent="0.25">
      <c r="D697" s="39"/>
      <c r="E697" s="42"/>
      <c r="F697" s="43"/>
      <c r="G697" s="38"/>
      <c r="I697" s="38"/>
      <c r="J697" s="39"/>
      <c r="K697" s="39"/>
    </row>
    <row r="698" spans="4:11" x14ac:dyDescent="0.25">
      <c r="D698" s="39"/>
      <c r="E698" s="42"/>
      <c r="F698" s="43"/>
      <c r="G698" s="38"/>
      <c r="I698" s="38"/>
      <c r="J698" s="39"/>
      <c r="K698" s="39"/>
    </row>
    <row r="699" spans="4:11" x14ac:dyDescent="0.25">
      <c r="D699" s="39"/>
      <c r="E699" s="42"/>
      <c r="F699" s="43"/>
      <c r="G699" s="38"/>
      <c r="I699" s="38"/>
      <c r="J699" s="39"/>
      <c r="K699" s="39"/>
    </row>
    <row r="700" spans="4:11" x14ac:dyDescent="0.25">
      <c r="D700" s="39"/>
      <c r="E700" s="42"/>
      <c r="F700" s="43"/>
      <c r="G700" s="38"/>
      <c r="I700" s="38"/>
      <c r="J700" s="39"/>
      <c r="K700" s="39"/>
    </row>
    <row r="701" spans="4:11" x14ac:dyDescent="0.25">
      <c r="D701" s="39"/>
      <c r="E701" s="42"/>
      <c r="F701" s="43"/>
      <c r="G701" s="38"/>
      <c r="I701" s="38"/>
      <c r="J701" s="39"/>
      <c r="K701" s="39"/>
    </row>
    <row r="702" spans="4:11" x14ac:dyDescent="0.25">
      <c r="D702" s="39"/>
      <c r="E702" s="42"/>
      <c r="F702" s="43"/>
      <c r="G702" s="38"/>
      <c r="I702" s="38"/>
      <c r="J702" s="39"/>
      <c r="K702" s="39"/>
    </row>
    <row r="703" spans="4:11" x14ac:dyDescent="0.25">
      <c r="D703" s="39"/>
      <c r="E703" s="42"/>
      <c r="F703" s="43"/>
      <c r="G703" s="38"/>
      <c r="I703" s="38"/>
      <c r="J703" s="39"/>
      <c r="K703" s="39"/>
    </row>
    <row r="704" spans="4:11" x14ac:dyDescent="0.25">
      <c r="D704" s="39"/>
      <c r="E704" s="42"/>
      <c r="F704" s="43"/>
      <c r="G704" s="38"/>
      <c r="I704" s="38"/>
      <c r="J704" s="39"/>
      <c r="K704" s="39"/>
    </row>
    <row r="705" spans="4:11" x14ac:dyDescent="0.25">
      <c r="D705" s="39"/>
      <c r="E705" s="42"/>
      <c r="F705" s="43"/>
      <c r="G705" s="38"/>
      <c r="I705" s="38"/>
      <c r="J705" s="39"/>
      <c r="K705" s="39"/>
    </row>
    <row r="706" spans="4:11" x14ac:dyDescent="0.25">
      <c r="D706" s="39"/>
      <c r="E706" s="42"/>
      <c r="F706" s="43"/>
      <c r="G706" s="38"/>
      <c r="I706" s="38"/>
      <c r="J706" s="39"/>
      <c r="K706" s="39"/>
    </row>
    <row r="707" spans="4:11" x14ac:dyDescent="0.25">
      <c r="D707" s="39"/>
      <c r="E707" s="42"/>
      <c r="F707" s="43"/>
      <c r="G707" s="38"/>
      <c r="I707" s="38"/>
      <c r="J707" s="39"/>
      <c r="K707" s="39"/>
    </row>
    <row r="708" spans="4:11" x14ac:dyDescent="0.25">
      <c r="D708" s="39"/>
      <c r="E708" s="42"/>
      <c r="F708" s="43"/>
      <c r="G708" s="38"/>
      <c r="I708" s="38"/>
      <c r="J708" s="39"/>
      <c r="K708" s="39"/>
    </row>
    <row r="709" spans="4:11" x14ac:dyDescent="0.25">
      <c r="D709" s="39"/>
      <c r="E709" s="42"/>
      <c r="F709" s="43"/>
      <c r="G709" s="38"/>
      <c r="I709" s="38"/>
      <c r="J709" s="39"/>
      <c r="K709" s="39"/>
    </row>
    <row r="710" spans="4:11" x14ac:dyDescent="0.25">
      <c r="D710" s="39"/>
      <c r="E710" s="42"/>
      <c r="F710" s="43"/>
      <c r="G710" s="38"/>
      <c r="I710" s="38"/>
      <c r="J710" s="39"/>
      <c r="K710" s="39"/>
    </row>
    <row r="711" spans="4:11" x14ac:dyDescent="0.25">
      <c r="D711" s="39"/>
      <c r="E711" s="42"/>
      <c r="F711" s="43"/>
      <c r="G711" s="38"/>
      <c r="I711" s="38"/>
      <c r="J711" s="39"/>
      <c r="K711" s="39"/>
    </row>
    <row r="712" spans="4:11" x14ac:dyDescent="0.25">
      <c r="D712" s="39"/>
      <c r="E712" s="42"/>
      <c r="F712" s="43"/>
      <c r="G712" s="38"/>
      <c r="I712" s="38"/>
      <c r="J712" s="39"/>
      <c r="K712" s="39"/>
    </row>
    <row r="713" spans="4:11" x14ac:dyDescent="0.25">
      <c r="D713" s="39"/>
      <c r="E713" s="42"/>
      <c r="F713" s="43"/>
      <c r="G713" s="38"/>
      <c r="I713" s="38"/>
      <c r="J713" s="39"/>
      <c r="K713" s="39"/>
    </row>
    <row r="714" spans="4:11" x14ac:dyDescent="0.25">
      <c r="D714" s="39"/>
      <c r="E714" s="42"/>
      <c r="F714" s="43"/>
      <c r="G714" s="38"/>
      <c r="I714" s="38"/>
      <c r="J714" s="39"/>
      <c r="K714" s="39"/>
    </row>
    <row r="715" spans="4:11" x14ac:dyDescent="0.25">
      <c r="D715" s="39"/>
      <c r="E715" s="42"/>
      <c r="F715" s="43"/>
      <c r="G715" s="38"/>
      <c r="I715" s="38"/>
      <c r="J715" s="39"/>
      <c r="K715" s="39"/>
    </row>
    <row r="716" spans="4:11" x14ac:dyDescent="0.25">
      <c r="D716" s="39"/>
      <c r="E716" s="42"/>
      <c r="F716" s="43"/>
      <c r="G716" s="38"/>
      <c r="I716" s="38"/>
      <c r="J716" s="39"/>
      <c r="K716" s="39"/>
    </row>
    <row r="717" spans="4:11" x14ac:dyDescent="0.25">
      <c r="D717" s="39"/>
      <c r="E717" s="42"/>
      <c r="F717" s="43"/>
      <c r="G717" s="38"/>
      <c r="I717" s="38"/>
      <c r="J717" s="39"/>
      <c r="K717" s="39"/>
    </row>
    <row r="718" spans="4:11" x14ac:dyDescent="0.25">
      <c r="D718" s="39"/>
      <c r="E718" s="42"/>
      <c r="F718" s="43"/>
      <c r="G718" s="38"/>
      <c r="I718" s="38"/>
      <c r="J718" s="39"/>
      <c r="K718" s="39"/>
    </row>
    <row r="719" spans="4:11" x14ac:dyDescent="0.25">
      <c r="D719" s="39"/>
      <c r="E719" s="42"/>
      <c r="F719" s="43"/>
      <c r="G719" s="38"/>
      <c r="I719" s="38"/>
      <c r="J719" s="39"/>
      <c r="K719" s="39"/>
    </row>
    <row r="720" spans="4:11" x14ac:dyDescent="0.25">
      <c r="D720" s="39"/>
      <c r="E720" s="42"/>
      <c r="F720" s="43"/>
      <c r="G720" s="38"/>
      <c r="I720" s="38"/>
      <c r="J720" s="39"/>
      <c r="K720" s="39"/>
    </row>
    <row r="721" spans="4:11" x14ac:dyDescent="0.25">
      <c r="D721" s="39"/>
      <c r="E721" s="42"/>
      <c r="F721" s="43"/>
      <c r="G721" s="38"/>
      <c r="I721" s="38"/>
      <c r="J721" s="39"/>
      <c r="K721" s="39"/>
    </row>
    <row r="722" spans="4:11" x14ac:dyDescent="0.25">
      <c r="D722" s="39"/>
      <c r="E722" s="42"/>
      <c r="F722" s="43"/>
      <c r="G722" s="38"/>
      <c r="I722" s="38"/>
      <c r="J722" s="39"/>
      <c r="K722" s="39"/>
    </row>
    <row r="723" spans="4:11" x14ac:dyDescent="0.25">
      <c r="D723" s="39"/>
      <c r="E723" s="42"/>
      <c r="F723" s="43"/>
      <c r="G723" s="38"/>
      <c r="I723" s="38"/>
      <c r="J723" s="39"/>
      <c r="K723" s="39"/>
    </row>
    <row r="724" spans="4:11" x14ac:dyDescent="0.25">
      <c r="D724" s="39"/>
      <c r="E724" s="42"/>
      <c r="F724" s="43"/>
      <c r="G724" s="38"/>
      <c r="I724" s="38"/>
      <c r="J724" s="39"/>
      <c r="K724" s="39"/>
    </row>
    <row r="725" spans="4:11" x14ac:dyDescent="0.25">
      <c r="D725" s="39"/>
      <c r="E725" s="42"/>
      <c r="F725" s="43"/>
      <c r="G725" s="38"/>
      <c r="I725" s="38"/>
      <c r="J725" s="39"/>
      <c r="K725" s="39"/>
    </row>
    <row r="726" spans="4:11" x14ac:dyDescent="0.25">
      <c r="D726" s="39"/>
      <c r="E726" s="42"/>
      <c r="F726" s="43"/>
      <c r="G726" s="38"/>
      <c r="I726" s="38"/>
      <c r="J726" s="39"/>
      <c r="K726" s="39"/>
    </row>
    <row r="727" spans="4:11" x14ac:dyDescent="0.25">
      <c r="D727" s="39"/>
      <c r="E727" s="42"/>
      <c r="F727" s="43"/>
      <c r="G727" s="38"/>
      <c r="I727" s="38"/>
      <c r="J727" s="39"/>
      <c r="K727" s="39"/>
    </row>
    <row r="728" spans="4:11" x14ac:dyDescent="0.25">
      <c r="D728" s="39"/>
      <c r="E728" s="42"/>
      <c r="F728" s="43"/>
      <c r="G728" s="38"/>
      <c r="I728" s="38"/>
      <c r="J728" s="39"/>
      <c r="K728" s="39"/>
    </row>
    <row r="729" spans="4:11" x14ac:dyDescent="0.25">
      <c r="D729" s="39"/>
      <c r="E729" s="42"/>
      <c r="F729" s="43"/>
      <c r="G729" s="38"/>
      <c r="I729" s="38"/>
      <c r="J729" s="39"/>
      <c r="K729" s="39"/>
    </row>
    <row r="730" spans="4:11" x14ac:dyDescent="0.25">
      <c r="D730" s="39"/>
      <c r="E730" s="42"/>
      <c r="F730" s="43"/>
      <c r="G730" s="38"/>
      <c r="I730" s="38"/>
      <c r="J730" s="39"/>
      <c r="K730" s="39"/>
    </row>
    <row r="731" spans="4:11" x14ac:dyDescent="0.25">
      <c r="D731" s="39"/>
      <c r="E731" s="42"/>
      <c r="F731" s="43"/>
      <c r="G731" s="38"/>
      <c r="I731" s="38"/>
      <c r="J731" s="39"/>
      <c r="K731" s="39"/>
    </row>
    <row r="732" spans="4:11" x14ac:dyDescent="0.25">
      <c r="D732" s="39"/>
      <c r="E732" s="42"/>
      <c r="F732" s="43"/>
      <c r="G732" s="38"/>
      <c r="I732" s="38"/>
      <c r="J732" s="39"/>
      <c r="K732" s="39"/>
    </row>
    <row r="733" spans="4:11" x14ac:dyDescent="0.25">
      <c r="D733" s="39"/>
      <c r="E733" s="42"/>
      <c r="F733" s="43"/>
      <c r="G733" s="38"/>
      <c r="I733" s="38"/>
      <c r="J733" s="39"/>
      <c r="K733" s="39"/>
    </row>
    <row r="734" spans="4:11" x14ac:dyDescent="0.25">
      <c r="D734" s="39"/>
      <c r="E734" s="42"/>
      <c r="F734" s="43"/>
      <c r="G734" s="38"/>
      <c r="I734" s="38"/>
      <c r="J734" s="39"/>
      <c r="K734" s="39"/>
    </row>
    <row r="735" spans="4:11" x14ac:dyDescent="0.25">
      <c r="D735" s="39"/>
      <c r="E735" s="42"/>
      <c r="F735" s="43"/>
      <c r="G735" s="38"/>
      <c r="I735" s="38"/>
      <c r="J735" s="39"/>
      <c r="K735" s="39"/>
    </row>
    <row r="736" spans="4:11" x14ac:dyDescent="0.25">
      <c r="D736" s="39"/>
      <c r="E736" s="42"/>
      <c r="F736" s="43"/>
      <c r="G736" s="38"/>
      <c r="I736" s="38"/>
      <c r="J736" s="39"/>
      <c r="K736" s="39"/>
    </row>
    <row r="737" spans="4:11" x14ac:dyDescent="0.25">
      <c r="D737" s="39"/>
      <c r="E737" s="42"/>
      <c r="F737" s="43"/>
      <c r="G737" s="38"/>
      <c r="I737" s="38"/>
      <c r="J737" s="39"/>
      <c r="K737" s="39"/>
    </row>
    <row r="738" spans="4:11" x14ac:dyDescent="0.25">
      <c r="D738" s="39"/>
      <c r="E738" s="42"/>
      <c r="F738" s="43"/>
      <c r="G738" s="38"/>
      <c r="I738" s="38"/>
      <c r="J738" s="39"/>
      <c r="K738" s="39"/>
    </row>
    <row r="739" spans="4:11" x14ac:dyDescent="0.25">
      <c r="D739" s="39"/>
      <c r="E739" s="42"/>
      <c r="F739" s="43"/>
      <c r="G739" s="38"/>
      <c r="I739" s="38"/>
      <c r="J739" s="39"/>
      <c r="K739" s="39"/>
    </row>
    <row r="740" spans="4:11" x14ac:dyDescent="0.25">
      <c r="D740" s="39"/>
      <c r="E740" s="42"/>
      <c r="F740" s="43"/>
      <c r="G740" s="38"/>
      <c r="I740" s="38"/>
      <c r="J740" s="39"/>
      <c r="K740" s="39"/>
    </row>
    <row r="741" spans="4:11" x14ac:dyDescent="0.25">
      <c r="D741" s="39"/>
      <c r="E741" s="42"/>
      <c r="F741" s="43"/>
      <c r="G741" s="38"/>
      <c r="I741" s="38"/>
      <c r="J741" s="39"/>
      <c r="K741" s="39"/>
    </row>
    <row r="742" spans="4:11" x14ac:dyDescent="0.25">
      <c r="D742" s="39"/>
      <c r="E742" s="42"/>
      <c r="F742" s="43"/>
      <c r="G742" s="38"/>
      <c r="I742" s="38"/>
      <c r="J742" s="39"/>
      <c r="K742" s="39"/>
    </row>
    <row r="743" spans="4:11" x14ac:dyDescent="0.25">
      <c r="D743" s="39"/>
      <c r="E743" s="42"/>
      <c r="F743" s="43"/>
      <c r="G743" s="38"/>
      <c r="I743" s="38"/>
      <c r="J743" s="39"/>
      <c r="K743" s="39"/>
    </row>
    <row r="744" spans="4:11" x14ac:dyDescent="0.25">
      <c r="D744" s="39"/>
      <c r="E744" s="42"/>
      <c r="F744" s="43"/>
      <c r="G744" s="38"/>
      <c r="I744" s="38"/>
      <c r="J744" s="39"/>
      <c r="K744" s="39"/>
    </row>
    <row r="745" spans="4:11" x14ac:dyDescent="0.25">
      <c r="D745" s="39"/>
      <c r="E745" s="42"/>
      <c r="F745" s="43"/>
      <c r="G745" s="38"/>
      <c r="I745" s="38"/>
      <c r="J745" s="39"/>
      <c r="K745" s="39"/>
    </row>
    <row r="746" spans="4:11" x14ac:dyDescent="0.25">
      <c r="D746" s="39"/>
      <c r="E746" s="42"/>
      <c r="F746" s="43"/>
      <c r="G746" s="38"/>
      <c r="I746" s="38"/>
      <c r="J746" s="39"/>
      <c r="K746" s="39"/>
    </row>
    <row r="747" spans="4:11" x14ac:dyDescent="0.25">
      <c r="D747" s="39"/>
      <c r="E747" s="42"/>
      <c r="F747" s="43"/>
      <c r="G747" s="38"/>
      <c r="I747" s="38"/>
      <c r="J747" s="39"/>
      <c r="K747" s="39"/>
    </row>
    <row r="748" spans="4:11" x14ac:dyDescent="0.25">
      <c r="D748" s="39"/>
      <c r="E748" s="42"/>
      <c r="F748" s="43"/>
      <c r="G748" s="38"/>
      <c r="I748" s="38"/>
      <c r="J748" s="39"/>
      <c r="K748" s="39"/>
    </row>
    <row r="749" spans="4:11" x14ac:dyDescent="0.25">
      <c r="D749" s="39"/>
      <c r="E749" s="42"/>
      <c r="F749" s="43"/>
      <c r="G749" s="38"/>
      <c r="I749" s="38"/>
      <c r="J749" s="39"/>
      <c r="K749" s="39"/>
    </row>
    <row r="750" spans="4:11" x14ac:dyDescent="0.25">
      <c r="D750" s="39"/>
      <c r="E750" s="42"/>
      <c r="F750" s="43"/>
      <c r="G750" s="38"/>
      <c r="I750" s="38"/>
      <c r="J750" s="39"/>
      <c r="K750" s="39"/>
    </row>
    <row r="751" spans="4:11" x14ac:dyDescent="0.25">
      <c r="D751" s="39"/>
      <c r="E751" s="42"/>
      <c r="F751" s="43"/>
      <c r="G751" s="38"/>
      <c r="I751" s="38"/>
      <c r="J751" s="39"/>
      <c r="K751" s="39"/>
    </row>
    <row r="752" spans="4:11" x14ac:dyDescent="0.25">
      <c r="D752" s="39"/>
      <c r="E752" s="42"/>
      <c r="F752" s="43"/>
      <c r="G752" s="38"/>
      <c r="I752" s="38"/>
      <c r="J752" s="39"/>
      <c r="K752" s="39"/>
    </row>
    <row r="753" spans="4:11" x14ac:dyDescent="0.25">
      <c r="D753" s="39"/>
      <c r="E753" s="42"/>
      <c r="F753" s="43"/>
      <c r="G753" s="38"/>
      <c r="I753" s="38"/>
      <c r="J753" s="39"/>
      <c r="K753" s="39"/>
    </row>
    <row r="754" spans="4:11" x14ac:dyDescent="0.25">
      <c r="D754" s="39"/>
      <c r="E754" s="42"/>
      <c r="F754" s="43"/>
      <c r="G754" s="38"/>
      <c r="I754" s="38"/>
      <c r="J754" s="39"/>
      <c r="K754" s="39"/>
    </row>
    <row r="755" spans="4:11" x14ac:dyDescent="0.25">
      <c r="D755" s="39"/>
      <c r="E755" s="42"/>
      <c r="F755" s="43"/>
      <c r="G755" s="38"/>
      <c r="I755" s="38"/>
      <c r="J755" s="39"/>
      <c r="K755" s="39"/>
    </row>
    <row r="756" spans="4:11" x14ac:dyDescent="0.25">
      <c r="D756" s="39"/>
      <c r="E756" s="42"/>
      <c r="F756" s="43"/>
      <c r="G756" s="38"/>
      <c r="I756" s="38"/>
      <c r="J756" s="39"/>
      <c r="K756" s="39"/>
    </row>
    <row r="757" spans="4:11" x14ac:dyDescent="0.25">
      <c r="D757" s="39"/>
      <c r="E757" s="42"/>
      <c r="F757" s="43"/>
      <c r="G757" s="38"/>
      <c r="I757" s="38"/>
      <c r="J757" s="39"/>
      <c r="K757" s="39"/>
    </row>
    <row r="758" spans="4:11" x14ac:dyDescent="0.25">
      <c r="D758" s="39"/>
      <c r="E758" s="42"/>
      <c r="F758" s="43"/>
      <c r="G758" s="38"/>
      <c r="I758" s="38"/>
      <c r="J758" s="39"/>
      <c r="K758" s="39"/>
    </row>
    <row r="759" spans="4:11" x14ac:dyDescent="0.25">
      <c r="D759" s="39"/>
      <c r="E759" s="42"/>
      <c r="F759" s="43"/>
      <c r="G759" s="38"/>
      <c r="I759" s="38"/>
      <c r="J759" s="39"/>
      <c r="K759" s="39"/>
    </row>
    <row r="760" spans="4:11" x14ac:dyDescent="0.25">
      <c r="D760" s="39"/>
      <c r="E760" s="42"/>
      <c r="F760" s="43"/>
      <c r="G760" s="38"/>
      <c r="I760" s="38"/>
      <c r="J760" s="39"/>
      <c r="K760" s="39"/>
    </row>
    <row r="761" spans="4:11" x14ac:dyDescent="0.25">
      <c r="D761" s="39"/>
      <c r="E761" s="42"/>
      <c r="F761" s="43"/>
      <c r="G761" s="38"/>
      <c r="I761" s="38"/>
      <c r="J761" s="39"/>
      <c r="K761" s="39"/>
    </row>
    <row r="762" spans="4:11" x14ac:dyDescent="0.25">
      <c r="D762" s="39"/>
      <c r="E762" s="42"/>
      <c r="F762" s="43"/>
      <c r="G762" s="38"/>
      <c r="I762" s="38"/>
      <c r="J762" s="39"/>
      <c r="K762" s="39"/>
    </row>
    <row r="763" spans="4:11" x14ac:dyDescent="0.25">
      <c r="D763" s="39"/>
      <c r="E763" s="42"/>
      <c r="F763" s="43"/>
      <c r="G763" s="38"/>
      <c r="I763" s="38"/>
      <c r="J763" s="39"/>
      <c r="K763" s="39"/>
    </row>
    <row r="764" spans="4:11" x14ac:dyDescent="0.25">
      <c r="D764" s="39"/>
      <c r="E764" s="42"/>
      <c r="F764" s="43"/>
      <c r="G764" s="38"/>
      <c r="I764" s="38"/>
      <c r="J764" s="39"/>
      <c r="K764" s="39"/>
    </row>
    <row r="765" spans="4:11" x14ac:dyDescent="0.25">
      <c r="D765" s="39"/>
      <c r="E765" s="42"/>
      <c r="F765" s="43"/>
      <c r="G765" s="38"/>
      <c r="I765" s="38"/>
      <c r="J765" s="39"/>
      <c r="K765" s="39"/>
    </row>
    <row r="766" spans="4:11" x14ac:dyDescent="0.25">
      <c r="D766" s="39"/>
      <c r="E766" s="42"/>
      <c r="F766" s="43"/>
      <c r="G766" s="38"/>
      <c r="I766" s="38"/>
      <c r="J766" s="39"/>
      <c r="K766" s="39"/>
    </row>
    <row r="767" spans="4:11" x14ac:dyDescent="0.25">
      <c r="D767" s="39"/>
      <c r="E767" s="42"/>
      <c r="F767" s="43"/>
      <c r="G767" s="38"/>
      <c r="I767" s="38"/>
      <c r="J767" s="39"/>
      <c r="K767" s="39"/>
    </row>
    <row r="768" spans="4:11" x14ac:dyDescent="0.25">
      <c r="D768" s="39"/>
      <c r="E768" s="42"/>
      <c r="F768" s="43"/>
      <c r="G768" s="38"/>
      <c r="I768" s="38"/>
      <c r="J768" s="39"/>
      <c r="K768" s="39"/>
    </row>
    <row r="769" spans="4:11" x14ac:dyDescent="0.25">
      <c r="D769" s="39"/>
      <c r="E769" s="42"/>
      <c r="F769" s="43"/>
      <c r="G769" s="38"/>
      <c r="I769" s="38"/>
      <c r="J769" s="39"/>
      <c r="K769" s="39"/>
    </row>
    <row r="770" spans="4:11" x14ac:dyDescent="0.25">
      <c r="D770" s="39"/>
      <c r="E770" s="42"/>
      <c r="F770" s="43"/>
      <c r="G770" s="38"/>
      <c r="I770" s="38"/>
      <c r="J770" s="39"/>
      <c r="K770" s="39"/>
    </row>
    <row r="771" spans="4:11" x14ac:dyDescent="0.25">
      <c r="D771" s="39"/>
      <c r="E771" s="42"/>
      <c r="F771" s="43"/>
      <c r="G771" s="38"/>
      <c r="I771" s="38"/>
      <c r="J771" s="39"/>
      <c r="K771" s="39"/>
    </row>
    <row r="772" spans="4:11" x14ac:dyDescent="0.25">
      <c r="D772" s="39"/>
      <c r="E772" s="42"/>
      <c r="F772" s="43"/>
      <c r="G772" s="38"/>
      <c r="I772" s="38"/>
      <c r="J772" s="39"/>
      <c r="K772" s="39"/>
    </row>
    <row r="773" spans="4:11" x14ac:dyDescent="0.25">
      <c r="D773" s="39"/>
      <c r="E773" s="42"/>
      <c r="F773" s="43"/>
      <c r="G773" s="38"/>
      <c r="I773" s="38"/>
      <c r="J773" s="39"/>
      <c r="K773" s="39"/>
    </row>
    <row r="774" spans="4:11" x14ac:dyDescent="0.25">
      <c r="D774" s="39"/>
      <c r="E774" s="42"/>
      <c r="F774" s="43"/>
      <c r="G774" s="38"/>
      <c r="I774" s="38"/>
      <c r="J774" s="39"/>
      <c r="K774" s="39"/>
    </row>
    <row r="775" spans="4:11" x14ac:dyDescent="0.25">
      <c r="D775" s="39"/>
      <c r="E775" s="42"/>
      <c r="F775" s="43"/>
      <c r="G775" s="38"/>
      <c r="I775" s="38"/>
      <c r="J775" s="39"/>
      <c r="K775" s="39"/>
    </row>
    <row r="776" spans="4:11" x14ac:dyDescent="0.25">
      <c r="D776" s="39"/>
      <c r="E776" s="42"/>
      <c r="F776" s="43"/>
      <c r="G776" s="38"/>
      <c r="I776" s="38"/>
      <c r="J776" s="39"/>
      <c r="K776" s="39"/>
    </row>
    <row r="777" spans="4:11" x14ac:dyDescent="0.25">
      <c r="D777" s="39"/>
      <c r="E777" s="42"/>
      <c r="F777" s="43"/>
      <c r="G777" s="38"/>
      <c r="I777" s="38"/>
      <c r="J777" s="39"/>
      <c r="K777" s="39"/>
    </row>
    <row r="778" spans="4:11" x14ac:dyDescent="0.25">
      <c r="D778" s="39"/>
      <c r="E778" s="42"/>
      <c r="F778" s="43"/>
      <c r="G778" s="38"/>
      <c r="I778" s="38"/>
      <c r="J778" s="39"/>
      <c r="K778" s="39"/>
    </row>
    <row r="779" spans="4:11" x14ac:dyDescent="0.25">
      <c r="D779" s="39"/>
      <c r="E779" s="42"/>
      <c r="F779" s="43"/>
      <c r="G779" s="38"/>
      <c r="I779" s="38"/>
      <c r="J779" s="39"/>
      <c r="K779" s="39"/>
    </row>
    <row r="780" spans="4:11" x14ac:dyDescent="0.25">
      <c r="D780" s="39"/>
      <c r="E780" s="42"/>
      <c r="F780" s="43"/>
      <c r="G780" s="38"/>
      <c r="I780" s="38"/>
      <c r="J780" s="39"/>
      <c r="K780" s="39"/>
    </row>
    <row r="781" spans="4:11" x14ac:dyDescent="0.25">
      <c r="D781" s="39"/>
      <c r="E781" s="42"/>
      <c r="F781" s="43"/>
      <c r="G781" s="38"/>
      <c r="I781" s="38"/>
      <c r="J781" s="39"/>
      <c r="K781" s="39"/>
    </row>
    <row r="782" spans="4:11" x14ac:dyDescent="0.25">
      <c r="D782" s="39"/>
      <c r="E782" s="42"/>
      <c r="F782" s="43"/>
      <c r="G782" s="38"/>
      <c r="I782" s="38"/>
      <c r="J782" s="39"/>
      <c r="K782" s="39"/>
    </row>
    <row r="783" spans="4:11" x14ac:dyDescent="0.25">
      <c r="D783" s="39"/>
      <c r="E783" s="42"/>
      <c r="F783" s="43"/>
      <c r="G783" s="38"/>
      <c r="I783" s="38"/>
      <c r="J783" s="39"/>
      <c r="K783" s="39"/>
    </row>
    <row r="784" spans="4:11" x14ac:dyDescent="0.25">
      <c r="D784" s="39"/>
      <c r="E784" s="42"/>
      <c r="F784" s="43"/>
      <c r="G784" s="38"/>
      <c r="I784" s="38"/>
      <c r="J784" s="39"/>
      <c r="K784" s="39"/>
    </row>
    <row r="785" spans="4:11" x14ac:dyDescent="0.25">
      <c r="D785" s="39"/>
      <c r="E785" s="42"/>
      <c r="F785" s="43"/>
      <c r="G785" s="38"/>
      <c r="I785" s="38"/>
      <c r="J785" s="39"/>
      <c r="K785" s="39"/>
    </row>
    <row r="786" spans="4:11" x14ac:dyDescent="0.25">
      <c r="D786" s="39"/>
      <c r="E786" s="42"/>
      <c r="F786" s="43"/>
      <c r="G786" s="38"/>
      <c r="I786" s="38"/>
      <c r="J786" s="39"/>
      <c r="K786" s="39"/>
    </row>
    <row r="787" spans="4:11" x14ac:dyDescent="0.25">
      <c r="D787" s="39"/>
      <c r="E787" s="42"/>
      <c r="F787" s="43"/>
      <c r="G787" s="38"/>
      <c r="I787" s="38"/>
      <c r="J787" s="39"/>
      <c r="K787" s="39"/>
    </row>
    <row r="788" spans="4:11" x14ac:dyDescent="0.25">
      <c r="D788" s="39"/>
      <c r="E788" s="42"/>
      <c r="F788" s="43"/>
      <c r="G788" s="38"/>
      <c r="I788" s="38"/>
      <c r="J788" s="39"/>
      <c r="K788" s="39"/>
    </row>
    <row r="789" spans="4:11" x14ac:dyDescent="0.25">
      <c r="D789" s="39"/>
      <c r="E789" s="42"/>
      <c r="F789" s="43"/>
      <c r="G789" s="38"/>
      <c r="I789" s="38"/>
      <c r="J789" s="39"/>
      <c r="K789" s="39"/>
    </row>
    <row r="790" spans="4:11" x14ac:dyDescent="0.25">
      <c r="D790" s="39"/>
      <c r="E790" s="42"/>
      <c r="F790" s="43"/>
      <c r="G790" s="38"/>
      <c r="I790" s="38"/>
      <c r="J790" s="39"/>
      <c r="K790" s="39"/>
    </row>
    <row r="791" spans="4:11" x14ac:dyDescent="0.25">
      <c r="D791" s="39"/>
      <c r="E791" s="42"/>
      <c r="F791" s="43"/>
      <c r="G791" s="38"/>
      <c r="I791" s="38"/>
      <c r="J791" s="39"/>
      <c r="K791" s="39"/>
    </row>
    <row r="792" spans="4:11" x14ac:dyDescent="0.25">
      <c r="D792" s="39"/>
      <c r="E792" s="42"/>
      <c r="F792" s="43"/>
      <c r="G792" s="38"/>
      <c r="I792" s="38"/>
      <c r="J792" s="39"/>
      <c r="K792" s="39"/>
    </row>
    <row r="793" spans="4:11" x14ac:dyDescent="0.25">
      <c r="D793" s="39"/>
      <c r="E793" s="42"/>
      <c r="F793" s="43"/>
      <c r="G793" s="38"/>
      <c r="I793" s="38"/>
      <c r="J793" s="39"/>
      <c r="K793" s="39"/>
    </row>
    <row r="794" spans="4:11" x14ac:dyDescent="0.25">
      <c r="D794" s="39"/>
      <c r="E794" s="42"/>
      <c r="F794" s="43"/>
      <c r="G794" s="38"/>
      <c r="I794" s="38"/>
      <c r="J794" s="39"/>
      <c r="K794" s="39"/>
    </row>
    <row r="795" spans="4:11" x14ac:dyDescent="0.25">
      <c r="D795" s="39"/>
      <c r="E795" s="42"/>
      <c r="F795" s="43"/>
      <c r="G795" s="38"/>
      <c r="I795" s="38"/>
      <c r="J795" s="39"/>
      <c r="K795" s="39"/>
    </row>
    <row r="796" spans="4:11" x14ac:dyDescent="0.25">
      <c r="D796" s="39"/>
      <c r="E796" s="42"/>
      <c r="F796" s="43"/>
      <c r="G796" s="38"/>
      <c r="I796" s="38"/>
      <c r="J796" s="39"/>
      <c r="K796" s="39"/>
    </row>
    <row r="797" spans="4:11" x14ac:dyDescent="0.25">
      <c r="D797" s="39"/>
      <c r="E797" s="42"/>
      <c r="F797" s="43"/>
      <c r="G797" s="38"/>
      <c r="I797" s="38"/>
      <c r="J797" s="39"/>
      <c r="K797" s="39"/>
    </row>
    <row r="798" spans="4:11" x14ac:dyDescent="0.25">
      <c r="D798" s="39"/>
      <c r="E798" s="42"/>
      <c r="F798" s="43"/>
      <c r="G798" s="38"/>
      <c r="I798" s="38"/>
      <c r="J798" s="39"/>
      <c r="K798" s="39"/>
    </row>
    <row r="799" spans="4:11" x14ac:dyDescent="0.25">
      <c r="D799" s="39"/>
      <c r="E799" s="42"/>
      <c r="F799" s="43"/>
      <c r="G799" s="38"/>
      <c r="I799" s="38"/>
      <c r="J799" s="39"/>
      <c r="K799" s="39"/>
    </row>
    <row r="800" spans="4:11" x14ac:dyDescent="0.25">
      <c r="D800" s="39"/>
      <c r="E800" s="42"/>
      <c r="F800" s="43"/>
      <c r="G800" s="38"/>
      <c r="I800" s="38"/>
      <c r="J800" s="39"/>
      <c r="K800" s="39"/>
    </row>
    <row r="801" spans="4:11" x14ac:dyDescent="0.25">
      <c r="D801" s="39"/>
      <c r="E801" s="42"/>
      <c r="F801" s="43"/>
      <c r="G801" s="38"/>
      <c r="I801" s="38"/>
      <c r="J801" s="39"/>
      <c r="K801" s="39"/>
    </row>
    <row r="802" spans="4:11" x14ac:dyDescent="0.25">
      <c r="D802" s="39"/>
      <c r="E802" s="42"/>
      <c r="F802" s="43"/>
      <c r="G802" s="38"/>
      <c r="I802" s="38"/>
      <c r="J802" s="39"/>
      <c r="K802" s="39"/>
    </row>
    <row r="803" spans="4:11" x14ac:dyDescent="0.25">
      <c r="D803" s="39"/>
      <c r="E803" s="42"/>
      <c r="F803" s="43"/>
      <c r="G803" s="38"/>
      <c r="I803" s="38"/>
      <c r="J803" s="39"/>
      <c r="K803" s="39"/>
    </row>
    <row r="804" spans="4:11" x14ac:dyDescent="0.25">
      <c r="D804" s="39"/>
      <c r="E804" s="42"/>
      <c r="F804" s="43"/>
      <c r="G804" s="38"/>
      <c r="I804" s="38"/>
      <c r="J804" s="39"/>
      <c r="K804" s="39"/>
    </row>
    <row r="805" spans="4:11" x14ac:dyDescent="0.25">
      <c r="D805" s="39"/>
      <c r="E805" s="42"/>
      <c r="F805" s="43"/>
      <c r="G805" s="38"/>
      <c r="I805" s="38"/>
      <c r="J805" s="39"/>
      <c r="K805" s="39"/>
    </row>
    <row r="806" spans="4:11" x14ac:dyDescent="0.25">
      <c r="D806" s="39"/>
      <c r="E806" s="42"/>
      <c r="F806" s="43"/>
      <c r="G806" s="38"/>
      <c r="I806" s="38"/>
      <c r="J806" s="39"/>
      <c r="K806" s="39"/>
    </row>
    <row r="807" spans="4:11" x14ac:dyDescent="0.25">
      <c r="D807" s="39"/>
      <c r="E807" s="42"/>
      <c r="F807" s="43"/>
      <c r="G807" s="38"/>
      <c r="I807" s="38"/>
      <c r="J807" s="39"/>
      <c r="K807" s="39"/>
    </row>
    <row r="808" spans="4:11" x14ac:dyDescent="0.25">
      <c r="D808" s="39"/>
      <c r="E808" s="42"/>
      <c r="F808" s="43"/>
      <c r="G808" s="38"/>
      <c r="I808" s="38"/>
      <c r="J808" s="39"/>
      <c r="K808" s="39"/>
    </row>
    <row r="809" spans="4:11" x14ac:dyDescent="0.25">
      <c r="D809" s="39"/>
      <c r="E809" s="42"/>
      <c r="F809" s="43"/>
      <c r="G809" s="38"/>
      <c r="I809" s="38"/>
      <c r="J809" s="39"/>
      <c r="K809" s="39"/>
    </row>
    <row r="810" spans="4:11" x14ac:dyDescent="0.25">
      <c r="D810" s="39"/>
      <c r="E810" s="42"/>
      <c r="F810" s="43"/>
      <c r="G810" s="38"/>
      <c r="I810" s="38"/>
      <c r="J810" s="39"/>
      <c r="K810" s="39"/>
    </row>
    <row r="811" spans="4:11" x14ac:dyDescent="0.25">
      <c r="D811" s="39"/>
      <c r="E811" s="42"/>
      <c r="F811" s="43"/>
      <c r="G811" s="38"/>
      <c r="I811" s="38"/>
      <c r="J811" s="39"/>
      <c r="K811" s="39"/>
    </row>
    <row r="812" spans="4:11" x14ac:dyDescent="0.25">
      <c r="D812" s="39"/>
      <c r="E812" s="42"/>
      <c r="F812" s="43"/>
      <c r="G812" s="38"/>
      <c r="I812" s="38"/>
      <c r="J812" s="39"/>
      <c r="K812" s="39"/>
    </row>
    <row r="813" spans="4:11" x14ac:dyDescent="0.25">
      <c r="D813" s="39"/>
      <c r="E813" s="42"/>
      <c r="F813" s="43"/>
      <c r="G813" s="38"/>
      <c r="I813" s="38"/>
      <c r="J813" s="39"/>
      <c r="K813" s="39"/>
    </row>
    <row r="814" spans="4:11" x14ac:dyDescent="0.25">
      <c r="D814" s="39"/>
      <c r="E814" s="42"/>
      <c r="F814" s="43"/>
      <c r="G814" s="38"/>
      <c r="I814" s="38"/>
      <c r="J814" s="39"/>
      <c r="K814" s="39"/>
    </row>
    <row r="815" spans="4:11" x14ac:dyDescent="0.25">
      <c r="D815" s="39"/>
      <c r="E815" s="42"/>
      <c r="F815" s="43"/>
      <c r="G815" s="38"/>
      <c r="I815" s="38"/>
      <c r="J815" s="39"/>
      <c r="K815" s="39"/>
    </row>
    <row r="816" spans="4:11" x14ac:dyDescent="0.25">
      <c r="D816" s="39"/>
      <c r="E816" s="42"/>
      <c r="F816" s="43"/>
      <c r="G816" s="38"/>
      <c r="I816" s="38"/>
      <c r="J816" s="39"/>
      <c r="K816" s="39"/>
    </row>
    <row r="817" spans="4:11" x14ac:dyDescent="0.25">
      <c r="D817" s="39"/>
      <c r="E817" s="42"/>
      <c r="F817" s="43"/>
      <c r="G817" s="38"/>
      <c r="I817" s="38"/>
      <c r="J817" s="39"/>
      <c r="K817" s="39"/>
    </row>
    <row r="818" spans="4:11" x14ac:dyDescent="0.25">
      <c r="D818" s="39"/>
      <c r="E818" s="42"/>
      <c r="F818" s="43"/>
      <c r="G818" s="38"/>
      <c r="I818" s="38"/>
      <c r="J818" s="39"/>
      <c r="K818" s="39"/>
    </row>
    <row r="819" spans="4:11" x14ac:dyDescent="0.25">
      <c r="D819" s="39"/>
      <c r="E819" s="42"/>
      <c r="F819" s="43"/>
      <c r="G819" s="38"/>
      <c r="I819" s="38"/>
      <c r="J819" s="39"/>
      <c r="K819" s="39"/>
    </row>
    <row r="820" spans="4:11" x14ac:dyDescent="0.25">
      <c r="D820" s="39"/>
      <c r="E820" s="42"/>
      <c r="F820" s="43"/>
      <c r="G820" s="38"/>
      <c r="I820" s="38"/>
      <c r="J820" s="39"/>
      <c r="K820" s="39"/>
    </row>
    <row r="821" spans="4:11" x14ac:dyDescent="0.25">
      <c r="D821" s="39"/>
      <c r="E821" s="42"/>
      <c r="F821" s="43"/>
      <c r="G821" s="38"/>
      <c r="I821" s="38"/>
      <c r="J821" s="39"/>
      <c r="K821" s="39"/>
    </row>
    <row r="822" spans="4:11" x14ac:dyDescent="0.25">
      <c r="D822" s="39"/>
      <c r="E822" s="42"/>
      <c r="F822" s="43"/>
      <c r="G822" s="38"/>
      <c r="I822" s="38"/>
      <c r="J822" s="39"/>
      <c r="K822" s="39"/>
    </row>
    <row r="823" spans="4:11" x14ac:dyDescent="0.25">
      <c r="D823" s="39"/>
      <c r="E823" s="42"/>
      <c r="F823" s="43"/>
      <c r="G823" s="38"/>
      <c r="I823" s="38"/>
      <c r="J823" s="39"/>
      <c r="K823" s="39"/>
    </row>
    <row r="824" spans="4:11" x14ac:dyDescent="0.25">
      <c r="D824" s="39"/>
      <c r="E824" s="42"/>
      <c r="F824" s="43"/>
      <c r="G824" s="38"/>
      <c r="I824" s="38"/>
      <c r="J824" s="39"/>
      <c r="K824" s="39"/>
    </row>
    <row r="825" spans="4:11" x14ac:dyDescent="0.25">
      <c r="D825" s="39"/>
      <c r="E825" s="42"/>
      <c r="F825" s="43"/>
      <c r="G825" s="38"/>
      <c r="I825" s="38"/>
      <c r="J825" s="39"/>
      <c r="K825" s="39"/>
    </row>
    <row r="826" spans="4:11" x14ac:dyDescent="0.25">
      <c r="D826" s="39"/>
      <c r="E826" s="42"/>
      <c r="F826" s="43"/>
      <c r="G826" s="38"/>
      <c r="I826" s="38"/>
      <c r="J826" s="39"/>
      <c r="K826" s="39"/>
    </row>
    <row r="827" spans="4:11" x14ac:dyDescent="0.25">
      <c r="D827" s="39"/>
      <c r="E827" s="42"/>
      <c r="F827" s="43"/>
      <c r="G827" s="38"/>
      <c r="I827" s="38"/>
      <c r="J827" s="39"/>
      <c r="K827" s="39"/>
    </row>
    <row r="828" spans="4:11" x14ac:dyDescent="0.25">
      <c r="D828" s="39"/>
      <c r="E828" s="42"/>
      <c r="F828" s="43"/>
      <c r="G828" s="38"/>
      <c r="I828" s="38"/>
      <c r="J828" s="39"/>
      <c r="K828" s="39"/>
    </row>
    <row r="829" spans="4:11" x14ac:dyDescent="0.25">
      <c r="D829" s="39"/>
      <c r="E829" s="42"/>
      <c r="F829" s="43"/>
      <c r="G829" s="38"/>
      <c r="I829" s="38"/>
      <c r="J829" s="39"/>
      <c r="K829" s="39"/>
    </row>
    <row r="830" spans="4:11" x14ac:dyDescent="0.25">
      <c r="D830" s="39"/>
      <c r="E830" s="42"/>
      <c r="F830" s="43"/>
      <c r="G830" s="38"/>
      <c r="I830" s="38"/>
      <c r="J830" s="39"/>
      <c r="K830" s="39"/>
    </row>
    <row r="831" spans="4:11" x14ac:dyDescent="0.25">
      <c r="D831" s="39"/>
      <c r="E831" s="42"/>
      <c r="F831" s="43"/>
      <c r="G831" s="38"/>
      <c r="I831" s="38"/>
      <c r="J831" s="39"/>
      <c r="K831" s="39"/>
    </row>
    <row r="832" spans="4:11" x14ac:dyDescent="0.25">
      <c r="D832" s="39"/>
      <c r="E832" s="42"/>
      <c r="F832" s="43"/>
      <c r="G832" s="38"/>
      <c r="I832" s="38"/>
      <c r="J832" s="39"/>
      <c r="K832" s="39"/>
    </row>
    <row r="833" spans="4:11" x14ac:dyDescent="0.25">
      <c r="D833" s="39"/>
      <c r="E833" s="42"/>
      <c r="F833" s="43"/>
      <c r="G833" s="38"/>
      <c r="I833" s="38"/>
      <c r="J833" s="39"/>
      <c r="K833" s="39"/>
    </row>
    <row r="834" spans="4:11" x14ac:dyDescent="0.25">
      <c r="D834" s="39"/>
      <c r="E834" s="42"/>
      <c r="F834" s="43"/>
      <c r="G834" s="38"/>
      <c r="I834" s="38"/>
      <c r="J834" s="39"/>
      <c r="K834" s="39"/>
    </row>
    <row r="835" spans="4:11" x14ac:dyDescent="0.25">
      <c r="D835" s="39"/>
      <c r="E835" s="42"/>
      <c r="F835" s="43"/>
      <c r="G835" s="38"/>
      <c r="I835" s="38"/>
      <c r="J835" s="39"/>
      <c r="K835" s="39"/>
    </row>
    <row r="836" spans="4:11" x14ac:dyDescent="0.25">
      <c r="D836" s="39"/>
      <c r="E836" s="42"/>
      <c r="F836" s="43"/>
      <c r="G836" s="38"/>
      <c r="I836" s="38"/>
      <c r="J836" s="39"/>
      <c r="K836" s="39"/>
    </row>
    <row r="837" spans="4:11" x14ac:dyDescent="0.25">
      <c r="D837" s="39"/>
      <c r="E837" s="42"/>
      <c r="F837" s="43"/>
      <c r="G837" s="38"/>
      <c r="I837" s="38"/>
      <c r="J837" s="39"/>
      <c r="K837" s="39"/>
    </row>
    <row r="838" spans="4:11" x14ac:dyDescent="0.25">
      <c r="D838" s="39"/>
      <c r="E838" s="42"/>
      <c r="F838" s="43"/>
      <c r="G838" s="38"/>
      <c r="I838" s="38"/>
      <c r="J838" s="39"/>
      <c r="K838" s="39"/>
    </row>
    <row r="839" spans="4:11" x14ac:dyDescent="0.25">
      <c r="D839" s="39"/>
      <c r="E839" s="42"/>
      <c r="F839" s="43"/>
      <c r="G839" s="38"/>
      <c r="I839" s="38"/>
      <c r="J839" s="39"/>
      <c r="K839" s="39"/>
    </row>
    <row r="840" spans="4:11" x14ac:dyDescent="0.25">
      <c r="D840" s="39"/>
      <c r="E840" s="42"/>
      <c r="F840" s="43"/>
      <c r="G840" s="38"/>
      <c r="I840" s="38"/>
      <c r="J840" s="39"/>
      <c r="K840" s="39"/>
    </row>
    <row r="841" spans="4:11" x14ac:dyDescent="0.25">
      <c r="D841" s="39"/>
      <c r="E841" s="42"/>
      <c r="F841" s="43"/>
      <c r="G841" s="38"/>
      <c r="I841" s="38"/>
      <c r="J841" s="39"/>
      <c r="K841" s="39"/>
    </row>
    <row r="842" spans="4:11" x14ac:dyDescent="0.25">
      <c r="D842" s="39"/>
      <c r="E842" s="42"/>
      <c r="F842" s="43"/>
      <c r="G842" s="38"/>
      <c r="I842" s="38"/>
      <c r="J842" s="39"/>
      <c r="K842" s="39"/>
    </row>
    <row r="843" spans="4:11" x14ac:dyDescent="0.25">
      <c r="D843" s="39"/>
      <c r="E843" s="42"/>
      <c r="F843" s="43"/>
      <c r="G843" s="38"/>
      <c r="I843" s="38"/>
      <c r="J843" s="39"/>
      <c r="K843" s="39"/>
    </row>
    <row r="844" spans="4:11" x14ac:dyDescent="0.25">
      <c r="D844" s="39"/>
      <c r="E844" s="42"/>
      <c r="F844" s="43"/>
      <c r="G844" s="38"/>
      <c r="I844" s="38"/>
      <c r="J844" s="39"/>
      <c r="K844" s="39"/>
    </row>
    <row r="845" spans="4:11" x14ac:dyDescent="0.25">
      <c r="D845" s="39"/>
      <c r="E845" s="42"/>
      <c r="F845" s="43"/>
      <c r="G845" s="38"/>
      <c r="I845" s="38"/>
      <c r="J845" s="39"/>
      <c r="K845" s="39"/>
    </row>
    <row r="846" spans="4:11" x14ac:dyDescent="0.25">
      <c r="D846" s="39"/>
      <c r="E846" s="42"/>
      <c r="F846" s="43"/>
      <c r="G846" s="38"/>
      <c r="I846" s="38"/>
      <c r="J846" s="39"/>
      <c r="K846" s="39"/>
    </row>
    <row r="847" spans="4:11" x14ac:dyDescent="0.25">
      <c r="D847" s="39"/>
      <c r="E847" s="42"/>
      <c r="F847" s="43"/>
      <c r="G847" s="38"/>
      <c r="I847" s="38"/>
      <c r="J847" s="39"/>
      <c r="K847" s="39"/>
    </row>
    <row r="848" spans="4:11" x14ac:dyDescent="0.25">
      <c r="D848" s="39"/>
      <c r="E848" s="42"/>
      <c r="F848" s="43"/>
      <c r="G848" s="38"/>
      <c r="I848" s="38"/>
      <c r="J848" s="39"/>
      <c r="K848" s="39"/>
    </row>
    <row r="849" spans="4:11" x14ac:dyDescent="0.25">
      <c r="D849" s="39"/>
      <c r="E849" s="42"/>
      <c r="F849" s="43"/>
      <c r="G849" s="38"/>
      <c r="I849" s="38"/>
      <c r="J849" s="39"/>
      <c r="K849" s="39"/>
    </row>
    <row r="850" spans="4:11" x14ac:dyDescent="0.25">
      <c r="D850" s="39"/>
      <c r="E850" s="42"/>
      <c r="F850" s="43"/>
      <c r="G850" s="38"/>
      <c r="I850" s="38"/>
      <c r="J850" s="39"/>
      <c r="K850" s="39"/>
    </row>
    <row r="851" spans="4:11" x14ac:dyDescent="0.25">
      <c r="D851" s="39"/>
      <c r="E851" s="42"/>
      <c r="F851" s="43"/>
      <c r="G851" s="38"/>
      <c r="I851" s="38"/>
      <c r="J851" s="39"/>
      <c r="K851" s="39"/>
    </row>
    <row r="852" spans="4:11" x14ac:dyDescent="0.25">
      <c r="D852" s="39"/>
      <c r="E852" s="42"/>
      <c r="F852" s="43"/>
      <c r="G852" s="38"/>
      <c r="I852" s="38"/>
      <c r="J852" s="39"/>
      <c r="K852" s="39"/>
    </row>
    <row r="853" spans="4:11" x14ac:dyDescent="0.25">
      <c r="D853" s="39"/>
      <c r="E853" s="42"/>
      <c r="F853" s="43"/>
      <c r="G853" s="38"/>
      <c r="I853" s="38"/>
      <c r="J853" s="39"/>
      <c r="K853" s="39"/>
    </row>
    <row r="854" spans="4:11" x14ac:dyDescent="0.25">
      <c r="D854" s="39"/>
      <c r="E854" s="42"/>
      <c r="F854" s="43"/>
      <c r="G854" s="38"/>
      <c r="I854" s="38"/>
      <c r="J854" s="39"/>
      <c r="K854" s="39"/>
    </row>
    <row r="855" spans="4:11" x14ac:dyDescent="0.25">
      <c r="D855" s="39"/>
      <c r="E855" s="42"/>
      <c r="F855" s="43"/>
      <c r="G855" s="38"/>
      <c r="I855" s="38"/>
      <c r="J855" s="39"/>
      <c r="K855" s="39"/>
    </row>
    <row r="856" spans="4:11" x14ac:dyDescent="0.25">
      <c r="D856" s="39"/>
      <c r="E856" s="42"/>
      <c r="F856" s="43"/>
      <c r="G856" s="38"/>
      <c r="I856" s="38"/>
      <c r="J856" s="39"/>
      <c r="K856" s="39"/>
    </row>
    <row r="857" spans="4:11" x14ac:dyDescent="0.25">
      <c r="D857" s="39"/>
      <c r="E857" s="42"/>
      <c r="F857" s="43"/>
      <c r="G857" s="38"/>
      <c r="I857" s="38"/>
      <c r="J857" s="39"/>
      <c r="K857" s="39"/>
    </row>
    <row r="858" spans="4:11" x14ac:dyDescent="0.25">
      <c r="D858" s="39"/>
      <c r="E858" s="42"/>
      <c r="F858" s="43"/>
      <c r="G858" s="38"/>
      <c r="I858" s="38"/>
      <c r="J858" s="39"/>
      <c r="K858" s="39"/>
    </row>
    <row r="859" spans="4:11" x14ac:dyDescent="0.25">
      <c r="D859" s="39"/>
      <c r="E859" s="42"/>
      <c r="F859" s="43"/>
      <c r="G859" s="38"/>
      <c r="I859" s="38"/>
      <c r="J859" s="39"/>
      <c r="K859" s="39"/>
    </row>
    <row r="860" spans="4:11" x14ac:dyDescent="0.25">
      <c r="D860" s="39"/>
      <c r="E860" s="42"/>
      <c r="F860" s="43"/>
      <c r="G860" s="38"/>
      <c r="I860" s="38"/>
      <c r="J860" s="39"/>
      <c r="K860" s="39"/>
    </row>
    <row r="861" spans="4:11" x14ac:dyDescent="0.25">
      <c r="D861" s="39"/>
      <c r="E861" s="42"/>
      <c r="F861" s="43"/>
      <c r="G861" s="38"/>
      <c r="I861" s="38"/>
      <c r="J861" s="39"/>
      <c r="K861" s="39"/>
    </row>
    <row r="862" spans="4:11" x14ac:dyDescent="0.25">
      <c r="D862" s="39"/>
      <c r="E862" s="42"/>
      <c r="F862" s="43"/>
      <c r="G862" s="38"/>
      <c r="I862" s="38"/>
      <c r="J862" s="39"/>
      <c r="K862" s="39"/>
    </row>
    <row r="863" spans="4:11" x14ac:dyDescent="0.25">
      <c r="D863" s="39"/>
      <c r="E863" s="42"/>
      <c r="F863" s="43"/>
      <c r="G863" s="38"/>
      <c r="I863" s="38"/>
      <c r="J863" s="39"/>
      <c r="K863" s="39"/>
    </row>
    <row r="864" spans="4:11" x14ac:dyDescent="0.25">
      <c r="D864" s="39"/>
      <c r="E864" s="42"/>
      <c r="F864" s="43"/>
      <c r="G864" s="38"/>
      <c r="I864" s="38"/>
      <c r="J864" s="39"/>
      <c r="K864" s="39"/>
    </row>
    <row r="865" spans="4:11" x14ac:dyDescent="0.25">
      <c r="D865" s="39"/>
      <c r="E865" s="42"/>
      <c r="F865" s="43"/>
      <c r="G865" s="38"/>
      <c r="I865" s="38"/>
      <c r="J865" s="39"/>
      <c r="K865" s="39"/>
    </row>
    <row r="866" spans="4:11" x14ac:dyDescent="0.25">
      <c r="D866" s="39"/>
      <c r="E866" s="42"/>
      <c r="F866" s="43"/>
      <c r="G866" s="38"/>
      <c r="I866" s="38"/>
      <c r="J866" s="39"/>
      <c r="K866" s="39"/>
    </row>
    <row r="867" spans="4:11" x14ac:dyDescent="0.25">
      <c r="D867" s="39"/>
      <c r="E867" s="42"/>
      <c r="F867" s="43"/>
      <c r="G867" s="38"/>
      <c r="I867" s="38"/>
      <c r="J867" s="39"/>
      <c r="K867" s="39"/>
    </row>
    <row r="868" spans="4:11" x14ac:dyDescent="0.25">
      <c r="D868" s="39"/>
      <c r="E868" s="42"/>
      <c r="F868" s="43"/>
      <c r="G868" s="38"/>
      <c r="I868" s="38"/>
      <c r="J868" s="39"/>
      <c r="K868" s="39"/>
    </row>
    <row r="869" spans="4:11" x14ac:dyDescent="0.25">
      <c r="D869" s="39"/>
      <c r="E869" s="42"/>
      <c r="F869" s="43"/>
      <c r="G869" s="38"/>
      <c r="I869" s="38"/>
      <c r="J869" s="39"/>
      <c r="K869" s="39"/>
    </row>
    <row r="870" spans="4:11" x14ac:dyDescent="0.25">
      <c r="D870" s="39"/>
      <c r="E870" s="42"/>
      <c r="F870" s="43"/>
      <c r="G870" s="38"/>
      <c r="I870" s="38"/>
      <c r="J870" s="39"/>
      <c r="K870" s="39"/>
    </row>
    <row r="871" spans="4:11" x14ac:dyDescent="0.25">
      <c r="D871" s="39"/>
      <c r="E871" s="42"/>
      <c r="F871" s="43"/>
      <c r="G871" s="38"/>
      <c r="I871" s="38"/>
      <c r="J871" s="39"/>
      <c r="K871" s="39"/>
    </row>
    <row r="872" spans="4:11" x14ac:dyDescent="0.25">
      <c r="D872" s="39"/>
      <c r="E872" s="42"/>
      <c r="F872" s="43"/>
      <c r="G872" s="38"/>
      <c r="I872" s="38"/>
      <c r="J872" s="39"/>
      <c r="K872" s="39"/>
    </row>
    <row r="873" spans="4:11" x14ac:dyDescent="0.25">
      <c r="D873" s="39"/>
      <c r="E873" s="42"/>
      <c r="F873" s="43"/>
      <c r="G873" s="38"/>
      <c r="I873" s="38"/>
      <c r="J873" s="39"/>
      <c r="K873" s="39"/>
    </row>
    <row r="874" spans="4:11" x14ac:dyDescent="0.25">
      <c r="D874" s="39"/>
      <c r="E874" s="42"/>
      <c r="F874" s="43"/>
      <c r="G874" s="38"/>
      <c r="I874" s="38"/>
      <c r="J874" s="39"/>
      <c r="K874" s="39"/>
    </row>
    <row r="875" spans="4:11" x14ac:dyDescent="0.25">
      <c r="D875" s="39"/>
      <c r="E875" s="42"/>
      <c r="F875" s="43"/>
      <c r="G875" s="38"/>
      <c r="I875" s="38"/>
      <c r="J875" s="39"/>
      <c r="K875" s="39"/>
    </row>
    <row r="876" spans="4:11" x14ac:dyDescent="0.25">
      <c r="D876" s="39"/>
      <c r="E876" s="42"/>
      <c r="F876" s="43"/>
      <c r="G876" s="38"/>
      <c r="I876" s="38"/>
      <c r="J876" s="39"/>
      <c r="K876" s="39"/>
    </row>
    <row r="877" spans="4:11" x14ac:dyDescent="0.25">
      <c r="D877" s="39"/>
      <c r="E877" s="42"/>
      <c r="F877" s="43"/>
      <c r="G877" s="38"/>
      <c r="I877" s="38"/>
      <c r="J877" s="39"/>
      <c r="K877" s="39"/>
    </row>
    <row r="878" spans="4:11" x14ac:dyDescent="0.25">
      <c r="D878" s="39"/>
      <c r="E878" s="42"/>
      <c r="F878" s="43"/>
      <c r="G878" s="38"/>
      <c r="I878" s="38"/>
      <c r="J878" s="39"/>
      <c r="K878" s="39"/>
    </row>
    <row r="879" spans="4:11" x14ac:dyDescent="0.25">
      <c r="D879" s="39"/>
      <c r="E879" s="42"/>
      <c r="F879" s="43"/>
      <c r="G879" s="38"/>
      <c r="I879" s="38"/>
      <c r="J879" s="39"/>
      <c r="K879" s="39"/>
    </row>
    <row r="880" spans="4:11" x14ac:dyDescent="0.25">
      <c r="D880" s="39"/>
      <c r="E880" s="42"/>
      <c r="F880" s="43"/>
      <c r="G880" s="38"/>
      <c r="I880" s="38"/>
      <c r="J880" s="39"/>
      <c r="K880" s="39"/>
    </row>
    <row r="881" spans="4:11" x14ac:dyDescent="0.25">
      <c r="D881" s="39"/>
      <c r="E881" s="42"/>
      <c r="F881" s="43"/>
      <c r="G881" s="38"/>
      <c r="I881" s="38"/>
      <c r="J881" s="39"/>
      <c r="K881" s="39"/>
    </row>
    <row r="882" spans="4:11" x14ac:dyDescent="0.25">
      <c r="D882" s="39"/>
      <c r="E882" s="42"/>
      <c r="F882" s="43"/>
      <c r="G882" s="38"/>
      <c r="I882" s="38"/>
      <c r="J882" s="39"/>
      <c r="K882" s="39"/>
    </row>
    <row r="883" spans="4:11" x14ac:dyDescent="0.25">
      <c r="D883" s="39"/>
      <c r="E883" s="42"/>
      <c r="F883" s="43"/>
      <c r="G883" s="38"/>
      <c r="I883" s="38"/>
      <c r="J883" s="39"/>
      <c r="K883" s="39"/>
    </row>
    <row r="884" spans="4:11" x14ac:dyDescent="0.25">
      <c r="D884" s="39"/>
      <c r="E884" s="42"/>
      <c r="F884" s="43"/>
      <c r="G884" s="38"/>
      <c r="I884" s="38"/>
      <c r="J884" s="39"/>
      <c r="K884" s="39"/>
    </row>
    <row r="885" spans="4:11" x14ac:dyDescent="0.25">
      <c r="D885" s="39"/>
      <c r="E885" s="42"/>
      <c r="F885" s="43"/>
      <c r="G885" s="38"/>
      <c r="I885" s="38"/>
      <c r="J885" s="39"/>
      <c r="K885" s="39"/>
    </row>
    <row r="886" spans="4:11" x14ac:dyDescent="0.25">
      <c r="D886" s="39"/>
      <c r="E886" s="42"/>
      <c r="F886" s="43"/>
      <c r="G886" s="38"/>
      <c r="I886" s="38"/>
      <c r="J886" s="39"/>
      <c r="K886" s="39"/>
    </row>
    <row r="887" spans="4:11" x14ac:dyDescent="0.25">
      <c r="D887" s="39"/>
      <c r="E887" s="42"/>
      <c r="F887" s="43"/>
      <c r="G887" s="38"/>
      <c r="I887" s="38"/>
      <c r="J887" s="39"/>
      <c r="K887" s="39"/>
    </row>
    <row r="888" spans="4:11" x14ac:dyDescent="0.25">
      <c r="D888" s="39"/>
      <c r="E888" s="42"/>
      <c r="F888" s="43"/>
      <c r="G888" s="38"/>
      <c r="I888" s="38"/>
      <c r="J888" s="39"/>
      <c r="K888" s="39"/>
    </row>
    <row r="889" spans="4:11" x14ac:dyDescent="0.25">
      <c r="D889" s="39"/>
      <c r="E889" s="42"/>
      <c r="F889" s="43"/>
      <c r="G889" s="38"/>
      <c r="I889" s="38"/>
      <c r="J889" s="39"/>
      <c r="K889" s="39"/>
    </row>
    <row r="890" spans="4:11" x14ac:dyDescent="0.25">
      <c r="D890" s="39"/>
      <c r="E890" s="42"/>
      <c r="F890" s="43"/>
      <c r="G890" s="38"/>
      <c r="I890" s="38"/>
      <c r="J890" s="39"/>
      <c r="K890" s="39"/>
    </row>
    <row r="891" spans="4:11" x14ac:dyDescent="0.25">
      <c r="D891" s="39"/>
      <c r="E891" s="42"/>
      <c r="F891" s="43"/>
      <c r="G891" s="38"/>
      <c r="I891" s="38"/>
      <c r="J891" s="39"/>
      <c r="K891" s="39"/>
    </row>
    <row r="892" spans="4:11" x14ac:dyDescent="0.25">
      <c r="D892" s="39"/>
      <c r="E892" s="42"/>
      <c r="F892" s="43"/>
      <c r="G892" s="38"/>
      <c r="I892" s="38"/>
      <c r="J892" s="39"/>
      <c r="K892" s="39"/>
    </row>
    <row r="893" spans="4:11" x14ac:dyDescent="0.25">
      <c r="D893" s="39"/>
      <c r="E893" s="42"/>
      <c r="F893" s="43"/>
      <c r="G893" s="38"/>
      <c r="I893" s="38"/>
      <c r="J893" s="39"/>
      <c r="K893" s="39"/>
    </row>
    <row r="894" spans="4:11" x14ac:dyDescent="0.25">
      <c r="D894" s="39"/>
      <c r="E894" s="42"/>
      <c r="F894" s="43"/>
      <c r="G894" s="38"/>
      <c r="I894" s="38"/>
      <c r="J894" s="39"/>
      <c r="K894" s="39"/>
    </row>
    <row r="895" spans="4:11" x14ac:dyDescent="0.25">
      <c r="D895" s="39"/>
      <c r="E895" s="42"/>
      <c r="F895" s="43"/>
      <c r="G895" s="38"/>
      <c r="I895" s="38"/>
      <c r="J895" s="39"/>
      <c r="K895" s="39"/>
    </row>
    <row r="896" spans="4:11" x14ac:dyDescent="0.25">
      <c r="D896" s="39"/>
      <c r="E896" s="42"/>
      <c r="F896" s="43"/>
      <c r="G896" s="38"/>
      <c r="I896" s="38"/>
      <c r="J896" s="39"/>
      <c r="K896" s="39"/>
    </row>
    <row r="897" spans="4:11" x14ac:dyDescent="0.25">
      <c r="D897" s="39"/>
      <c r="E897" s="42"/>
      <c r="F897" s="43"/>
      <c r="G897" s="38"/>
      <c r="I897" s="38"/>
      <c r="J897" s="39"/>
      <c r="K897" s="39"/>
    </row>
    <row r="898" spans="4:11" x14ac:dyDescent="0.25">
      <c r="D898" s="39"/>
      <c r="E898" s="42"/>
      <c r="F898" s="43"/>
      <c r="G898" s="38"/>
      <c r="I898" s="38"/>
      <c r="J898" s="39"/>
      <c r="K898" s="39"/>
    </row>
    <row r="899" spans="4:11" x14ac:dyDescent="0.25">
      <c r="D899" s="39"/>
      <c r="E899" s="42"/>
      <c r="F899" s="43"/>
      <c r="G899" s="38"/>
      <c r="I899" s="38"/>
      <c r="J899" s="39"/>
      <c r="K899" s="39"/>
    </row>
    <row r="900" spans="4:11" x14ac:dyDescent="0.25">
      <c r="D900" s="39"/>
      <c r="E900" s="42"/>
      <c r="F900" s="43"/>
      <c r="G900" s="38"/>
      <c r="I900" s="38"/>
      <c r="J900" s="39"/>
      <c r="K900" s="39"/>
    </row>
    <row r="901" spans="4:11" x14ac:dyDescent="0.25">
      <c r="D901" s="39"/>
      <c r="E901" s="42"/>
      <c r="F901" s="43"/>
      <c r="G901" s="38"/>
      <c r="I901" s="38"/>
      <c r="J901" s="39"/>
      <c r="K901" s="39"/>
    </row>
    <row r="902" spans="4:11" x14ac:dyDescent="0.25">
      <c r="D902" s="39"/>
      <c r="E902" s="42"/>
      <c r="F902" s="43"/>
      <c r="G902" s="38"/>
      <c r="I902" s="38"/>
      <c r="J902" s="39"/>
      <c r="K902" s="39"/>
    </row>
    <row r="903" spans="4:11" x14ac:dyDescent="0.25">
      <c r="D903" s="39"/>
      <c r="E903" s="42"/>
      <c r="F903" s="43"/>
      <c r="G903" s="38"/>
      <c r="I903" s="38"/>
      <c r="J903" s="39"/>
      <c r="K903" s="39"/>
    </row>
    <row r="904" spans="4:11" x14ac:dyDescent="0.25">
      <c r="D904" s="39"/>
      <c r="E904" s="42"/>
      <c r="F904" s="43"/>
      <c r="G904" s="38"/>
      <c r="I904" s="38"/>
      <c r="J904" s="39"/>
      <c r="K904" s="39"/>
    </row>
    <row r="905" spans="4:11" x14ac:dyDescent="0.25">
      <c r="D905" s="39"/>
      <c r="E905" s="42"/>
      <c r="F905" s="43"/>
      <c r="G905" s="38"/>
      <c r="I905" s="38"/>
      <c r="J905" s="39"/>
      <c r="K905" s="39"/>
    </row>
    <row r="906" spans="4:11" x14ac:dyDescent="0.25">
      <c r="D906" s="39"/>
      <c r="E906" s="42"/>
      <c r="F906" s="43"/>
      <c r="G906" s="38"/>
      <c r="I906" s="38"/>
      <c r="J906" s="39"/>
      <c r="K906" s="39"/>
    </row>
    <row r="907" spans="4:11" x14ac:dyDescent="0.25">
      <c r="D907" s="39"/>
      <c r="E907" s="42"/>
      <c r="F907" s="43"/>
      <c r="G907" s="38"/>
      <c r="I907" s="38"/>
      <c r="J907" s="39"/>
      <c r="K907" s="39"/>
    </row>
    <row r="908" spans="4:11" x14ac:dyDescent="0.25">
      <c r="D908" s="39"/>
      <c r="E908" s="42"/>
      <c r="F908" s="43"/>
      <c r="G908" s="38"/>
      <c r="I908" s="38"/>
      <c r="J908" s="39"/>
      <c r="K908" s="39"/>
    </row>
    <row r="909" spans="4:11" x14ac:dyDescent="0.25">
      <c r="D909" s="39"/>
      <c r="E909" s="42"/>
      <c r="F909" s="43"/>
      <c r="G909" s="38"/>
      <c r="I909" s="38"/>
      <c r="J909" s="39"/>
      <c r="K909" s="39"/>
    </row>
    <row r="910" spans="4:11" x14ac:dyDescent="0.25">
      <c r="D910" s="39"/>
      <c r="E910" s="42"/>
      <c r="F910" s="43"/>
      <c r="G910" s="38"/>
      <c r="I910" s="38"/>
      <c r="J910" s="39"/>
      <c r="K910" s="39"/>
    </row>
    <row r="911" spans="4:11" x14ac:dyDescent="0.25">
      <c r="D911" s="39"/>
      <c r="E911" s="42"/>
      <c r="F911" s="43"/>
      <c r="G911" s="38"/>
      <c r="I911" s="38"/>
      <c r="J911" s="39"/>
      <c r="K911" s="39"/>
    </row>
    <row r="912" spans="4:11" x14ac:dyDescent="0.25">
      <c r="D912" s="39"/>
      <c r="E912" s="42"/>
      <c r="F912" s="43"/>
      <c r="G912" s="38"/>
      <c r="I912" s="38"/>
      <c r="J912" s="39"/>
      <c r="K912" s="39"/>
    </row>
    <row r="913" spans="4:11" x14ac:dyDescent="0.25">
      <c r="D913" s="39"/>
      <c r="E913" s="42"/>
      <c r="F913" s="43"/>
      <c r="G913" s="38"/>
      <c r="I913" s="38"/>
      <c r="J913" s="39"/>
      <c r="K913" s="39"/>
    </row>
    <row r="914" spans="4:11" x14ac:dyDescent="0.25">
      <c r="D914" s="39"/>
      <c r="E914" s="42"/>
      <c r="F914" s="43"/>
      <c r="G914" s="38"/>
      <c r="I914" s="38"/>
      <c r="J914" s="39"/>
      <c r="K914" s="39"/>
    </row>
    <row r="915" spans="4:11" x14ac:dyDescent="0.25">
      <c r="D915" s="39"/>
      <c r="E915" s="42"/>
      <c r="F915" s="43"/>
      <c r="G915" s="38"/>
      <c r="I915" s="38"/>
      <c r="J915" s="39"/>
      <c r="K915" s="39"/>
    </row>
    <row r="916" spans="4:11" x14ac:dyDescent="0.25">
      <c r="D916" s="39"/>
      <c r="E916" s="42"/>
      <c r="F916" s="43"/>
      <c r="G916" s="38"/>
      <c r="I916" s="38"/>
      <c r="J916" s="39"/>
      <c r="K916" s="39"/>
    </row>
    <row r="917" spans="4:11" x14ac:dyDescent="0.25">
      <c r="D917" s="39"/>
      <c r="E917" s="42"/>
      <c r="F917" s="43"/>
      <c r="G917" s="38"/>
      <c r="I917" s="38"/>
      <c r="J917" s="39"/>
      <c r="K917" s="39"/>
    </row>
    <row r="918" spans="4:11" x14ac:dyDescent="0.25">
      <c r="D918" s="39"/>
      <c r="E918" s="42"/>
      <c r="F918" s="43"/>
      <c r="G918" s="38"/>
      <c r="I918" s="38"/>
      <c r="J918" s="39"/>
      <c r="K918" s="39"/>
    </row>
    <row r="919" spans="4:11" x14ac:dyDescent="0.25">
      <c r="D919" s="39"/>
      <c r="E919" s="42"/>
      <c r="F919" s="43"/>
      <c r="G919" s="38"/>
      <c r="I919" s="38"/>
      <c r="J919" s="39"/>
      <c r="K919" s="39"/>
    </row>
    <row r="920" spans="4:11" x14ac:dyDescent="0.25">
      <c r="D920" s="39"/>
      <c r="E920" s="42"/>
      <c r="F920" s="43"/>
      <c r="G920" s="38"/>
      <c r="I920" s="38"/>
      <c r="J920" s="39"/>
      <c r="K920" s="39"/>
    </row>
    <row r="921" spans="4:11" x14ac:dyDescent="0.25">
      <c r="D921" s="39"/>
      <c r="E921" s="42"/>
      <c r="F921" s="43"/>
      <c r="G921" s="38"/>
      <c r="I921" s="38"/>
      <c r="J921" s="39"/>
      <c r="K921" s="39"/>
    </row>
    <row r="922" spans="4:11" x14ac:dyDescent="0.25">
      <c r="D922" s="39"/>
      <c r="E922" s="42"/>
      <c r="F922" s="43"/>
      <c r="G922" s="38"/>
      <c r="I922" s="38"/>
      <c r="J922" s="39"/>
      <c r="K922" s="39"/>
    </row>
    <row r="923" spans="4:11" x14ac:dyDescent="0.25">
      <c r="D923" s="39"/>
      <c r="E923" s="42"/>
      <c r="F923" s="43"/>
      <c r="G923" s="38"/>
      <c r="I923" s="38"/>
      <c r="J923" s="39"/>
      <c r="K923" s="39"/>
    </row>
    <row r="924" spans="4:11" x14ac:dyDescent="0.25">
      <c r="D924" s="39"/>
      <c r="E924" s="42"/>
      <c r="F924" s="43"/>
      <c r="G924" s="38"/>
      <c r="I924" s="38"/>
      <c r="J924" s="39"/>
      <c r="K924" s="39"/>
    </row>
    <row r="925" spans="4:11" x14ac:dyDescent="0.25">
      <c r="D925" s="39"/>
      <c r="E925" s="42"/>
      <c r="F925" s="43"/>
      <c r="G925" s="38"/>
      <c r="I925" s="38"/>
      <c r="J925" s="39"/>
      <c r="K925" s="39"/>
    </row>
    <row r="926" spans="4:11" x14ac:dyDescent="0.25">
      <c r="D926" s="39"/>
      <c r="E926" s="42"/>
      <c r="F926" s="43"/>
      <c r="G926" s="38"/>
      <c r="I926" s="38"/>
      <c r="J926" s="39"/>
      <c r="K926" s="39"/>
    </row>
    <row r="927" spans="4:11" x14ac:dyDescent="0.25">
      <c r="D927" s="39"/>
      <c r="E927" s="42"/>
      <c r="F927" s="43"/>
      <c r="G927" s="38"/>
      <c r="I927" s="38"/>
      <c r="J927" s="39"/>
      <c r="K927" s="39"/>
    </row>
    <row r="928" spans="4:11" x14ac:dyDescent="0.25">
      <c r="D928" s="39"/>
      <c r="E928" s="42"/>
      <c r="F928" s="43"/>
      <c r="G928" s="38"/>
      <c r="I928" s="38"/>
      <c r="J928" s="39"/>
      <c r="K928" s="39"/>
    </row>
    <row r="929" spans="4:11" x14ac:dyDescent="0.25">
      <c r="D929" s="39"/>
      <c r="E929" s="42"/>
      <c r="F929" s="43"/>
      <c r="G929" s="38"/>
      <c r="I929" s="38"/>
      <c r="J929" s="39"/>
      <c r="K929" s="39"/>
    </row>
    <row r="930" spans="4:11" x14ac:dyDescent="0.25">
      <c r="D930" s="39"/>
      <c r="E930" s="42"/>
      <c r="F930" s="43"/>
      <c r="G930" s="38"/>
      <c r="I930" s="38"/>
      <c r="J930" s="39"/>
      <c r="K930" s="39"/>
    </row>
    <row r="931" spans="4:11" x14ac:dyDescent="0.25">
      <c r="D931" s="39"/>
      <c r="E931" s="42"/>
      <c r="F931" s="43"/>
      <c r="G931" s="38"/>
      <c r="I931" s="38"/>
      <c r="J931" s="39"/>
      <c r="K931" s="39"/>
    </row>
    <row r="932" spans="4:11" x14ac:dyDescent="0.25">
      <c r="D932" s="39"/>
      <c r="E932" s="42"/>
      <c r="F932" s="43"/>
      <c r="G932" s="38"/>
      <c r="I932" s="38"/>
      <c r="J932" s="39"/>
      <c r="K932" s="39"/>
    </row>
    <row r="933" spans="4:11" x14ac:dyDescent="0.25">
      <c r="D933" s="39"/>
      <c r="E933" s="42"/>
      <c r="F933" s="43"/>
      <c r="G933" s="38"/>
      <c r="I933" s="38"/>
      <c r="J933" s="39"/>
      <c r="K933" s="39"/>
    </row>
    <row r="934" spans="4:11" x14ac:dyDescent="0.25">
      <c r="D934" s="39"/>
      <c r="E934" s="42"/>
      <c r="F934" s="43"/>
      <c r="G934" s="38"/>
      <c r="I934" s="38"/>
      <c r="J934" s="39"/>
      <c r="K934" s="39"/>
    </row>
    <row r="935" spans="4:11" x14ac:dyDescent="0.25">
      <c r="D935" s="39"/>
      <c r="E935" s="42"/>
      <c r="F935" s="43"/>
      <c r="G935" s="38"/>
      <c r="I935" s="38"/>
      <c r="J935" s="39"/>
      <c r="K935" s="39"/>
    </row>
    <row r="936" spans="4:11" x14ac:dyDescent="0.25">
      <c r="D936" s="39"/>
      <c r="E936" s="42"/>
      <c r="F936" s="43"/>
      <c r="G936" s="38"/>
      <c r="I936" s="38"/>
      <c r="J936" s="39"/>
      <c r="K936" s="39"/>
    </row>
    <row r="937" spans="4:11" x14ac:dyDescent="0.25">
      <c r="D937" s="39"/>
      <c r="E937" s="42"/>
      <c r="F937" s="43"/>
      <c r="G937" s="38"/>
      <c r="I937" s="38"/>
      <c r="J937" s="39"/>
      <c r="K937" s="39"/>
    </row>
    <row r="938" spans="4:11" x14ac:dyDescent="0.25">
      <c r="D938" s="39"/>
      <c r="E938" s="42"/>
      <c r="F938" s="43"/>
      <c r="G938" s="38"/>
      <c r="I938" s="38"/>
      <c r="J938" s="39"/>
      <c r="K938" s="39"/>
    </row>
    <row r="939" spans="4:11" x14ac:dyDescent="0.25">
      <c r="D939" s="39"/>
      <c r="E939" s="42"/>
      <c r="F939" s="43"/>
      <c r="G939" s="38"/>
      <c r="I939" s="38"/>
      <c r="J939" s="39"/>
      <c r="K939" s="39"/>
    </row>
    <row r="940" spans="4:11" x14ac:dyDescent="0.25">
      <c r="D940" s="39"/>
      <c r="E940" s="42"/>
      <c r="F940" s="43"/>
      <c r="G940" s="38"/>
      <c r="I940" s="38"/>
      <c r="J940" s="39"/>
      <c r="K940" s="39"/>
    </row>
    <row r="941" spans="4:11" x14ac:dyDescent="0.25">
      <c r="D941" s="39"/>
      <c r="E941" s="42"/>
      <c r="F941" s="43"/>
      <c r="G941" s="38"/>
      <c r="I941" s="38"/>
      <c r="J941" s="39"/>
      <c r="K941" s="39"/>
    </row>
    <row r="942" spans="4:11" x14ac:dyDescent="0.25">
      <c r="D942" s="39"/>
      <c r="E942" s="42"/>
      <c r="F942" s="43"/>
      <c r="G942" s="38"/>
      <c r="I942" s="38"/>
      <c r="J942" s="39"/>
      <c r="K942" s="39"/>
    </row>
    <row r="943" spans="4:11" x14ac:dyDescent="0.25">
      <c r="D943" s="39"/>
      <c r="E943" s="42"/>
      <c r="F943" s="43"/>
      <c r="G943" s="38"/>
      <c r="I943" s="38"/>
      <c r="J943" s="39"/>
      <c r="K943" s="39"/>
    </row>
    <row r="944" spans="4:11" x14ac:dyDescent="0.25">
      <c r="D944" s="39"/>
      <c r="E944" s="42"/>
      <c r="F944" s="43"/>
      <c r="G944" s="38"/>
      <c r="I944" s="38"/>
      <c r="J944" s="39"/>
      <c r="K944" s="39"/>
    </row>
    <row r="945" spans="4:11" x14ac:dyDescent="0.25">
      <c r="D945" s="39"/>
      <c r="E945" s="42"/>
      <c r="F945" s="43"/>
      <c r="G945" s="38"/>
      <c r="I945" s="38"/>
      <c r="J945" s="39"/>
      <c r="K945" s="39"/>
    </row>
    <row r="946" spans="4:11" x14ac:dyDescent="0.25">
      <c r="D946" s="39"/>
      <c r="E946" s="42"/>
      <c r="F946" s="43"/>
      <c r="G946" s="38"/>
      <c r="I946" s="38"/>
      <c r="J946" s="39"/>
      <c r="K946" s="39"/>
    </row>
    <row r="947" spans="4:11" x14ac:dyDescent="0.25">
      <c r="D947" s="39"/>
      <c r="E947" s="42"/>
      <c r="F947" s="43"/>
      <c r="G947" s="38"/>
      <c r="I947" s="38"/>
      <c r="J947" s="39"/>
      <c r="K947" s="39"/>
    </row>
    <row r="948" spans="4:11" x14ac:dyDescent="0.25">
      <c r="D948" s="39"/>
      <c r="E948" s="42"/>
      <c r="F948" s="43"/>
      <c r="G948" s="38"/>
      <c r="I948" s="38"/>
      <c r="J948" s="39"/>
      <c r="K948" s="39"/>
    </row>
    <row r="949" spans="4:11" x14ac:dyDescent="0.25">
      <c r="D949" s="39"/>
      <c r="E949" s="42"/>
      <c r="F949" s="43"/>
      <c r="G949" s="38"/>
      <c r="I949" s="38"/>
      <c r="J949" s="39"/>
      <c r="K949" s="39"/>
    </row>
    <row r="950" spans="4:11" x14ac:dyDescent="0.25">
      <c r="D950" s="39"/>
      <c r="E950" s="42"/>
      <c r="F950" s="43"/>
      <c r="G950" s="38"/>
      <c r="I950" s="38"/>
      <c r="J950" s="39"/>
      <c r="K950" s="39"/>
    </row>
    <row r="951" spans="4:11" x14ac:dyDescent="0.25">
      <c r="D951" s="39"/>
      <c r="E951" s="42"/>
      <c r="F951" s="43"/>
      <c r="G951" s="38"/>
      <c r="I951" s="38"/>
      <c r="J951" s="39"/>
      <c r="K951" s="39"/>
    </row>
    <row r="952" spans="4:11" x14ac:dyDescent="0.25">
      <c r="D952" s="39"/>
      <c r="E952" s="42"/>
      <c r="F952" s="43"/>
      <c r="G952" s="38"/>
      <c r="I952" s="38"/>
      <c r="J952" s="39"/>
      <c r="K952" s="39"/>
    </row>
    <row r="953" spans="4:11" x14ac:dyDescent="0.25">
      <c r="D953" s="39"/>
      <c r="E953" s="42"/>
      <c r="F953" s="43"/>
      <c r="G953" s="38"/>
      <c r="I953" s="38"/>
      <c r="J953" s="39"/>
      <c r="K953" s="39"/>
    </row>
    <row r="954" spans="4:11" x14ac:dyDescent="0.25">
      <c r="D954" s="39"/>
      <c r="E954" s="42"/>
      <c r="F954" s="43"/>
      <c r="G954" s="38"/>
      <c r="I954" s="38"/>
      <c r="J954" s="39"/>
      <c r="K954" s="39"/>
    </row>
    <row r="955" spans="4:11" x14ac:dyDescent="0.25">
      <c r="D955" s="39"/>
      <c r="E955" s="42"/>
      <c r="F955" s="43"/>
      <c r="G955" s="38"/>
      <c r="I955" s="38"/>
      <c r="J955" s="39"/>
      <c r="K955" s="39"/>
    </row>
    <row r="956" spans="4:11" x14ac:dyDescent="0.25">
      <c r="D956" s="39"/>
      <c r="E956" s="42"/>
      <c r="F956" s="43"/>
      <c r="G956" s="38"/>
      <c r="I956" s="38"/>
      <c r="J956" s="39"/>
      <c r="K956" s="39"/>
    </row>
    <row r="957" spans="4:11" x14ac:dyDescent="0.25">
      <c r="D957" s="39"/>
      <c r="E957" s="42"/>
      <c r="F957" s="43"/>
      <c r="G957" s="38"/>
      <c r="I957" s="38"/>
      <c r="J957" s="39"/>
      <c r="K957" s="39"/>
    </row>
    <row r="958" spans="4:11" x14ac:dyDescent="0.25">
      <c r="D958" s="39"/>
      <c r="E958" s="42"/>
      <c r="F958" s="43"/>
      <c r="G958" s="38"/>
      <c r="I958" s="38"/>
      <c r="J958" s="39"/>
      <c r="K958" s="39"/>
    </row>
    <row r="959" spans="4:11" x14ac:dyDescent="0.25">
      <c r="D959" s="39"/>
      <c r="E959" s="42"/>
      <c r="F959" s="43"/>
      <c r="G959" s="38"/>
      <c r="I959" s="38"/>
      <c r="J959" s="39"/>
      <c r="K959" s="39"/>
    </row>
    <row r="960" spans="4:11" x14ac:dyDescent="0.25">
      <c r="D960" s="39"/>
      <c r="E960" s="42"/>
      <c r="F960" s="43"/>
      <c r="G960" s="38"/>
      <c r="I960" s="38"/>
      <c r="J960" s="39"/>
      <c r="K960" s="39"/>
    </row>
    <row r="961" spans="4:11" x14ac:dyDescent="0.25">
      <c r="D961" s="39"/>
      <c r="E961" s="42"/>
      <c r="F961" s="43"/>
      <c r="G961" s="38"/>
      <c r="I961" s="38"/>
      <c r="J961" s="39"/>
      <c r="K961" s="39"/>
    </row>
    <row r="962" spans="4:11" x14ac:dyDescent="0.25">
      <c r="D962" s="39"/>
      <c r="E962" s="42"/>
      <c r="F962" s="43"/>
      <c r="G962" s="38"/>
      <c r="I962" s="38"/>
      <c r="J962" s="39"/>
      <c r="K962" s="39"/>
    </row>
    <row r="963" spans="4:11" x14ac:dyDescent="0.25">
      <c r="D963" s="39"/>
      <c r="E963" s="42"/>
      <c r="F963" s="43"/>
      <c r="G963" s="38"/>
      <c r="I963" s="38"/>
      <c r="J963" s="39"/>
      <c r="K963" s="39"/>
    </row>
    <row r="964" spans="4:11" x14ac:dyDescent="0.25">
      <c r="D964" s="39"/>
      <c r="E964" s="42"/>
      <c r="F964" s="43"/>
      <c r="G964" s="38"/>
      <c r="I964" s="38"/>
      <c r="J964" s="39"/>
      <c r="K964" s="39"/>
    </row>
    <row r="965" spans="4:11" x14ac:dyDescent="0.25">
      <c r="D965" s="39"/>
      <c r="E965" s="42"/>
      <c r="F965" s="43"/>
      <c r="G965" s="38"/>
      <c r="I965" s="38"/>
      <c r="J965" s="39"/>
      <c r="K965" s="39"/>
    </row>
    <row r="966" spans="4:11" x14ac:dyDescent="0.25">
      <c r="D966" s="39"/>
      <c r="E966" s="42"/>
      <c r="F966" s="43"/>
      <c r="G966" s="38"/>
      <c r="I966" s="38"/>
      <c r="J966" s="39"/>
      <c r="K966" s="39"/>
    </row>
    <row r="967" spans="4:11" x14ac:dyDescent="0.25">
      <c r="D967" s="39"/>
      <c r="E967" s="42"/>
      <c r="F967" s="43"/>
      <c r="G967" s="38"/>
      <c r="I967" s="38"/>
      <c r="J967" s="39"/>
      <c r="K967" s="39"/>
    </row>
    <row r="968" spans="4:11" x14ac:dyDescent="0.25">
      <c r="D968" s="39"/>
      <c r="E968" s="42"/>
      <c r="F968" s="43"/>
      <c r="G968" s="38"/>
      <c r="I968" s="38"/>
      <c r="J968" s="39"/>
      <c r="K968" s="39"/>
    </row>
    <row r="969" spans="4:11" x14ac:dyDescent="0.25">
      <c r="D969" s="39"/>
      <c r="E969" s="42"/>
      <c r="F969" s="43"/>
      <c r="G969" s="38"/>
      <c r="I969" s="38"/>
      <c r="J969" s="39"/>
      <c r="K969" s="39"/>
    </row>
    <row r="970" spans="4:11" x14ac:dyDescent="0.25">
      <c r="D970" s="39"/>
      <c r="E970" s="42"/>
      <c r="F970" s="43"/>
      <c r="G970" s="38"/>
      <c r="I970" s="38"/>
      <c r="J970" s="39"/>
      <c r="K970" s="39"/>
    </row>
    <row r="971" spans="4:11" x14ac:dyDescent="0.25">
      <c r="D971" s="39"/>
      <c r="E971" s="42"/>
      <c r="F971" s="43"/>
      <c r="G971" s="38"/>
      <c r="I971" s="38"/>
      <c r="J971" s="39"/>
      <c r="K971" s="39"/>
    </row>
    <row r="972" spans="4:11" x14ac:dyDescent="0.25">
      <c r="D972" s="39"/>
      <c r="E972" s="42"/>
      <c r="F972" s="43"/>
      <c r="G972" s="38"/>
      <c r="I972" s="38"/>
      <c r="J972" s="39"/>
      <c r="K972" s="39"/>
    </row>
    <row r="973" spans="4:11" x14ac:dyDescent="0.25">
      <c r="D973" s="39"/>
      <c r="E973" s="42"/>
      <c r="F973" s="43"/>
      <c r="G973" s="38"/>
      <c r="I973" s="38"/>
      <c r="J973" s="39"/>
      <c r="K973" s="39"/>
    </row>
    <row r="974" spans="4:11" x14ac:dyDescent="0.25">
      <c r="D974" s="39"/>
      <c r="E974" s="42"/>
      <c r="F974" s="43"/>
      <c r="G974" s="38"/>
      <c r="I974" s="38"/>
      <c r="J974" s="39"/>
      <c r="K974" s="39"/>
    </row>
    <row r="975" spans="4:11" x14ac:dyDescent="0.25">
      <c r="D975" s="39"/>
      <c r="E975" s="42"/>
      <c r="F975" s="43"/>
      <c r="G975" s="38"/>
      <c r="I975" s="38"/>
      <c r="J975" s="39"/>
      <c r="K975" s="39"/>
    </row>
    <row r="976" spans="4:11" x14ac:dyDescent="0.25">
      <c r="D976" s="39"/>
      <c r="E976" s="42"/>
      <c r="F976" s="43"/>
      <c r="G976" s="38"/>
      <c r="I976" s="38"/>
      <c r="J976" s="39"/>
      <c r="K976" s="39"/>
    </row>
    <row r="977" spans="4:11" x14ac:dyDescent="0.25">
      <c r="D977" s="39"/>
      <c r="E977" s="42"/>
      <c r="F977" s="43"/>
      <c r="G977" s="38"/>
      <c r="I977" s="38"/>
      <c r="J977" s="39"/>
      <c r="K977" s="39"/>
    </row>
    <row r="978" spans="4:11" x14ac:dyDescent="0.25">
      <c r="D978" s="39"/>
      <c r="E978" s="42"/>
      <c r="F978" s="43"/>
      <c r="G978" s="38"/>
      <c r="I978" s="38"/>
      <c r="J978" s="39"/>
      <c r="K978" s="39"/>
    </row>
    <row r="979" spans="4:11" x14ac:dyDescent="0.25">
      <c r="D979" s="39"/>
      <c r="E979" s="42"/>
      <c r="F979" s="43"/>
      <c r="G979" s="38"/>
      <c r="I979" s="38"/>
      <c r="J979" s="39"/>
      <c r="K979" s="39"/>
    </row>
    <row r="980" spans="4:11" x14ac:dyDescent="0.25">
      <c r="D980" s="39"/>
      <c r="E980" s="42"/>
      <c r="F980" s="43"/>
      <c r="G980" s="38"/>
      <c r="I980" s="38"/>
      <c r="J980" s="39"/>
      <c r="K980" s="39"/>
    </row>
    <row r="981" spans="4:11" x14ac:dyDescent="0.25">
      <c r="D981" s="39"/>
      <c r="E981" s="42"/>
      <c r="F981" s="43"/>
      <c r="G981" s="38"/>
      <c r="I981" s="38"/>
      <c r="J981" s="39"/>
      <c r="K981" s="39"/>
    </row>
    <row r="982" spans="4:11" x14ac:dyDescent="0.25">
      <c r="D982" s="39"/>
      <c r="E982" s="42"/>
      <c r="F982" s="43"/>
      <c r="G982" s="38"/>
      <c r="I982" s="38"/>
      <c r="J982" s="39"/>
      <c r="K982" s="39"/>
    </row>
    <row r="983" spans="4:11" x14ac:dyDescent="0.25">
      <c r="D983" s="39"/>
      <c r="E983" s="42"/>
      <c r="F983" s="43"/>
      <c r="G983" s="38"/>
      <c r="I983" s="38"/>
      <c r="J983" s="39"/>
      <c r="K983" s="39"/>
    </row>
    <row r="984" spans="4:11" x14ac:dyDescent="0.25">
      <c r="D984" s="39"/>
      <c r="E984" s="42"/>
      <c r="F984" s="43"/>
      <c r="G984" s="38"/>
      <c r="I984" s="38"/>
      <c r="J984" s="39"/>
      <c r="K984" s="39"/>
    </row>
    <row r="985" spans="4:11" x14ac:dyDescent="0.25">
      <c r="D985" s="39"/>
      <c r="E985" s="42"/>
      <c r="F985" s="43"/>
      <c r="G985" s="38"/>
      <c r="I985" s="38"/>
      <c r="J985" s="39"/>
      <c r="K985" s="39"/>
    </row>
    <row r="986" spans="4:11" x14ac:dyDescent="0.25">
      <c r="D986" s="39"/>
      <c r="E986" s="42"/>
      <c r="F986" s="43"/>
      <c r="G986" s="38"/>
      <c r="I986" s="38"/>
      <c r="J986" s="39"/>
      <c r="K986" s="39"/>
    </row>
    <row r="987" spans="4:11" x14ac:dyDescent="0.25">
      <c r="D987" s="39"/>
      <c r="E987" s="42"/>
      <c r="F987" s="43"/>
      <c r="G987" s="38"/>
      <c r="I987" s="38"/>
      <c r="J987" s="39"/>
      <c r="K987" s="39"/>
    </row>
    <row r="988" spans="4:11" x14ac:dyDescent="0.25">
      <c r="D988" s="39"/>
      <c r="E988" s="42"/>
      <c r="F988" s="43"/>
      <c r="G988" s="38"/>
      <c r="I988" s="38"/>
      <c r="J988" s="39"/>
      <c r="K988" s="39"/>
    </row>
    <row r="989" spans="4:11" x14ac:dyDescent="0.25">
      <c r="D989" s="39"/>
      <c r="E989" s="42"/>
      <c r="F989" s="43"/>
      <c r="G989" s="38"/>
      <c r="I989" s="38"/>
      <c r="J989" s="39"/>
      <c r="K989" s="39"/>
    </row>
    <row r="990" spans="4:11" x14ac:dyDescent="0.25">
      <c r="D990" s="39"/>
      <c r="E990" s="42"/>
      <c r="F990" s="43"/>
      <c r="G990" s="38"/>
      <c r="I990" s="38"/>
      <c r="J990" s="39"/>
      <c r="K990" s="39"/>
    </row>
    <row r="991" spans="4:11" x14ac:dyDescent="0.25">
      <c r="D991" s="39"/>
      <c r="E991" s="42"/>
      <c r="F991" s="43"/>
      <c r="G991" s="38"/>
      <c r="I991" s="38"/>
      <c r="J991" s="39"/>
      <c r="K991" s="39"/>
    </row>
    <row r="992" spans="4:11" x14ac:dyDescent="0.25">
      <c r="D992" s="39"/>
      <c r="E992" s="42"/>
      <c r="F992" s="43"/>
      <c r="G992" s="38"/>
      <c r="I992" s="38"/>
      <c r="J992" s="39"/>
      <c r="K992" s="39"/>
    </row>
    <row r="993" spans="4:11" x14ac:dyDescent="0.25">
      <c r="D993" s="39"/>
      <c r="E993" s="42"/>
      <c r="F993" s="43"/>
      <c r="G993" s="38"/>
      <c r="I993" s="38"/>
      <c r="J993" s="39"/>
      <c r="K993" s="39"/>
    </row>
    <row r="994" spans="4:11" x14ac:dyDescent="0.25">
      <c r="D994" s="39"/>
      <c r="E994" s="42"/>
      <c r="F994" s="43"/>
      <c r="G994" s="38"/>
      <c r="I994" s="38"/>
      <c r="J994" s="39"/>
      <c r="K994" s="39"/>
    </row>
    <row r="995" spans="4:11" x14ac:dyDescent="0.25">
      <c r="D995" s="39"/>
      <c r="E995" s="42"/>
      <c r="F995" s="43"/>
      <c r="G995" s="38"/>
      <c r="I995" s="38"/>
      <c r="J995" s="39"/>
      <c r="K995" s="39"/>
    </row>
    <row r="996" spans="4:11" x14ac:dyDescent="0.25">
      <c r="D996" s="39"/>
      <c r="E996" s="42"/>
      <c r="G996" s="38"/>
      <c r="I996" s="38"/>
      <c r="J996" s="39"/>
      <c r="K996" s="39"/>
    </row>
    <row r="997" spans="4:11" x14ac:dyDescent="0.25">
      <c r="D997" s="39"/>
      <c r="E997" s="42"/>
      <c r="G997" s="38"/>
      <c r="I997" s="38"/>
      <c r="J997" s="39"/>
      <c r="K997" s="39"/>
    </row>
    <row r="998" spans="4:11" x14ac:dyDescent="0.25">
      <c r="D998" s="39"/>
      <c r="E998" s="42"/>
      <c r="G998" s="38"/>
      <c r="I998" s="38"/>
      <c r="J998" s="39"/>
      <c r="K998" s="39"/>
    </row>
    <row r="999" spans="4:11" x14ac:dyDescent="0.25"/>
    <row r="1000" spans="4:11" x14ac:dyDescent="0.25"/>
    <row r="1001" spans="4:11" x14ac:dyDescent="0.25"/>
    <row r="1002" spans="4:11" x14ac:dyDescent="0.25"/>
    <row r="1003" spans="4:11" x14ac:dyDescent="0.25"/>
    <row r="1004" spans="4:11" x14ac:dyDescent="0.25"/>
    <row r="1005" spans="4:11" x14ac:dyDescent="0.25"/>
    <row r="1006" spans="4:11" x14ac:dyDescent="0.25"/>
    <row r="1007" spans="4:11" x14ac:dyDescent="0.25"/>
    <row r="1008" spans="4:11" x14ac:dyDescent="0.25"/>
    <row r="1009" x14ac:dyDescent="0.25"/>
    <row r="1010" x14ac:dyDescent="0.25"/>
    <row r="1011" x14ac:dyDescent="0.25"/>
    <row r="1012" x14ac:dyDescent="0.25"/>
  </sheetData>
  <mergeCells count="10">
    <mergeCell ref="M34:Q34"/>
    <mergeCell ref="M36:Q36"/>
    <mergeCell ref="M45:Q45"/>
    <mergeCell ref="O55:P55"/>
    <mergeCell ref="C1:G1"/>
    <mergeCell ref="D2:G2"/>
    <mergeCell ref="D3:G3"/>
    <mergeCell ref="M13:Q13"/>
    <mergeCell ref="S13:X13"/>
    <mergeCell ref="M20:Q20"/>
  </mergeCells>
  <pageMargins left="0.31496062992126" right="0.31496062992126" top="0.32" bottom="0.34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1283A-EE97-4A9F-BDB0-DE167D36BF10}">
  <dimension ref="A1:I255"/>
  <sheetViews>
    <sheetView topLeftCell="B1" workbookViewId="0">
      <selection activeCell="B5" sqref="B5"/>
    </sheetView>
  </sheetViews>
  <sheetFormatPr defaultRowHeight="15" x14ac:dyDescent="0.25"/>
  <cols>
    <col min="1" max="1" width="17" style="4" hidden="1" customWidth="1"/>
    <col min="2" max="2" width="20.140625" style="4" customWidth="1"/>
    <col min="3" max="3" width="36.140625" style="4" customWidth="1"/>
    <col min="4" max="4" width="17.28515625" style="4" customWidth="1"/>
    <col min="5" max="6" width="0.140625" style="4" hidden="1" customWidth="1"/>
    <col min="7" max="7" width="14.140625" style="30" customWidth="1"/>
    <col min="8" max="8" width="17.140625" style="31" customWidth="1"/>
    <col min="9" max="9" width="14.42578125" style="4" customWidth="1"/>
    <col min="10" max="16384" width="9.140625" style="4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1" t="s">
        <v>8</v>
      </c>
    </row>
    <row r="2" spans="1:9" hidden="1" x14ac:dyDescent="0.25">
      <c r="A2" s="5" t="s">
        <v>9</v>
      </c>
      <c r="B2" s="5" t="s">
        <v>10</v>
      </c>
      <c r="C2" s="5" t="s">
        <v>11</v>
      </c>
      <c r="D2" s="5" t="s">
        <v>12</v>
      </c>
      <c r="E2" s="4">
        <v>75.959999999999994</v>
      </c>
      <c r="F2" s="4">
        <v>7.5960000000000001</v>
      </c>
      <c r="G2" s="4">
        <f t="shared" ref="G2:G65" si="0">SUM(E2:F2)</f>
        <v>83.555999999999997</v>
      </c>
      <c r="H2" s="4"/>
      <c r="I2" s="4">
        <f>G2*H2</f>
        <v>0</v>
      </c>
    </row>
    <row r="3" spans="1:9" hidden="1" x14ac:dyDescent="0.25">
      <c r="A3" s="5" t="s">
        <v>13</v>
      </c>
      <c r="B3" s="5" t="s">
        <v>14</v>
      </c>
      <c r="C3" s="5" t="s">
        <v>15</v>
      </c>
      <c r="D3" s="5" t="s">
        <v>16</v>
      </c>
      <c r="E3" s="4">
        <v>45.478700000000003</v>
      </c>
      <c r="F3" s="4">
        <v>4.5478699999999996</v>
      </c>
      <c r="G3" s="4">
        <f t="shared" si="0"/>
        <v>50.026570000000007</v>
      </c>
      <c r="H3" s="4"/>
      <c r="I3" s="4">
        <f t="shared" ref="I3:I66" si="1">G3*H3</f>
        <v>0</v>
      </c>
    </row>
    <row r="4" spans="1:9" hidden="1" x14ac:dyDescent="0.25">
      <c r="A4" s="6" t="s">
        <v>17</v>
      </c>
      <c r="B4" s="6" t="s">
        <v>18</v>
      </c>
      <c r="C4" s="6" t="s">
        <v>19</v>
      </c>
      <c r="D4" s="6" t="s">
        <v>20</v>
      </c>
      <c r="E4" s="7">
        <v>3.94</v>
      </c>
      <c r="F4" s="7">
        <v>0.39400000000000002</v>
      </c>
      <c r="G4" s="4">
        <f t="shared" si="0"/>
        <v>4.3339999999999996</v>
      </c>
      <c r="H4" s="4"/>
      <c r="I4" s="4">
        <f t="shared" si="1"/>
        <v>0</v>
      </c>
    </row>
    <row r="5" spans="1:9" x14ac:dyDescent="0.25">
      <c r="A5" s="5" t="s">
        <v>21</v>
      </c>
      <c r="B5" s="5" t="s">
        <v>22</v>
      </c>
      <c r="C5" s="8" t="s">
        <v>23</v>
      </c>
      <c r="D5" s="8" t="s">
        <v>24</v>
      </c>
      <c r="E5" s="4">
        <v>24.26</v>
      </c>
      <c r="F5" s="4">
        <v>0</v>
      </c>
      <c r="G5" s="9">
        <f t="shared" si="0"/>
        <v>24.26</v>
      </c>
      <c r="H5" s="10">
        <v>3</v>
      </c>
      <c r="I5" s="9">
        <f t="shared" si="1"/>
        <v>72.78</v>
      </c>
    </row>
    <row r="6" spans="1:9" hidden="1" x14ac:dyDescent="0.25">
      <c r="A6" s="6" t="s">
        <v>25</v>
      </c>
      <c r="B6" s="6" t="s">
        <v>26</v>
      </c>
      <c r="C6" s="6" t="s">
        <v>27</v>
      </c>
      <c r="D6" s="6" t="s">
        <v>24</v>
      </c>
      <c r="E6" s="7">
        <v>32.26</v>
      </c>
      <c r="F6" s="7">
        <v>0</v>
      </c>
      <c r="G6" s="4">
        <f t="shared" si="0"/>
        <v>32.26</v>
      </c>
      <c r="H6" s="4"/>
      <c r="I6" s="4">
        <f t="shared" si="1"/>
        <v>0</v>
      </c>
    </row>
    <row r="7" spans="1:9" hidden="1" x14ac:dyDescent="0.25">
      <c r="A7" s="5" t="s">
        <v>28</v>
      </c>
      <c r="B7" s="5" t="s">
        <v>29</v>
      </c>
      <c r="C7" s="5" t="s">
        <v>30</v>
      </c>
      <c r="D7" s="5" t="s">
        <v>24</v>
      </c>
      <c r="E7" s="4">
        <v>58.99</v>
      </c>
      <c r="F7" s="4">
        <v>0</v>
      </c>
      <c r="G7" s="4">
        <f t="shared" si="0"/>
        <v>58.99</v>
      </c>
      <c r="H7" s="4"/>
      <c r="I7" s="4">
        <f t="shared" si="1"/>
        <v>0</v>
      </c>
    </row>
    <row r="8" spans="1:9" hidden="1" x14ac:dyDescent="0.25">
      <c r="A8" s="6" t="s">
        <v>31</v>
      </c>
      <c r="B8" s="6" t="s">
        <v>32</v>
      </c>
      <c r="C8" s="6" t="s">
        <v>33</v>
      </c>
      <c r="D8" s="6" t="s">
        <v>16</v>
      </c>
      <c r="E8" s="7">
        <v>18.940000000000001</v>
      </c>
      <c r="F8" s="7">
        <v>1.8939999999999999</v>
      </c>
      <c r="G8" s="4">
        <f t="shared" si="0"/>
        <v>20.834</v>
      </c>
      <c r="H8" s="4"/>
      <c r="I8" s="4">
        <f t="shared" si="1"/>
        <v>0</v>
      </c>
    </row>
    <row r="9" spans="1:9" x14ac:dyDescent="0.25">
      <c r="A9" s="5" t="s">
        <v>34</v>
      </c>
      <c r="B9" s="5" t="s">
        <v>35</v>
      </c>
      <c r="C9" s="8" t="s">
        <v>36</v>
      </c>
      <c r="D9" s="8" t="s">
        <v>37</v>
      </c>
      <c r="E9" s="4">
        <v>23.46</v>
      </c>
      <c r="F9" s="4">
        <v>0</v>
      </c>
      <c r="G9" s="9">
        <v>16.5</v>
      </c>
      <c r="H9" s="10">
        <v>7</v>
      </c>
      <c r="I9" s="9">
        <f t="shared" si="1"/>
        <v>115.5</v>
      </c>
    </row>
    <row r="10" spans="1:9" hidden="1" x14ac:dyDescent="0.25">
      <c r="A10" s="6" t="s">
        <v>38</v>
      </c>
      <c r="B10" s="6" t="s">
        <v>39</v>
      </c>
      <c r="C10" s="6" t="s">
        <v>40</v>
      </c>
      <c r="D10" s="6" t="s">
        <v>20</v>
      </c>
      <c r="E10" s="7">
        <v>46.43</v>
      </c>
      <c r="F10" s="7">
        <v>0</v>
      </c>
      <c r="G10" s="4">
        <f t="shared" si="0"/>
        <v>46.43</v>
      </c>
      <c r="H10" s="4"/>
      <c r="I10" s="4">
        <f t="shared" si="1"/>
        <v>0</v>
      </c>
    </row>
    <row r="11" spans="1:9" hidden="1" x14ac:dyDescent="0.25">
      <c r="A11" s="5" t="s">
        <v>41</v>
      </c>
      <c r="B11" s="5" t="s">
        <v>42</v>
      </c>
      <c r="C11" s="5" t="s">
        <v>43</v>
      </c>
      <c r="D11" s="5" t="s">
        <v>16</v>
      </c>
      <c r="E11" s="4">
        <v>38.700000000000003</v>
      </c>
      <c r="F11" s="4">
        <v>0</v>
      </c>
      <c r="G11" s="4">
        <f t="shared" si="0"/>
        <v>38.700000000000003</v>
      </c>
      <c r="H11" s="4"/>
      <c r="I11" s="4">
        <f t="shared" si="1"/>
        <v>0</v>
      </c>
    </row>
    <row r="12" spans="1:9" hidden="1" x14ac:dyDescent="0.25">
      <c r="A12" s="6" t="s">
        <v>44</v>
      </c>
      <c r="B12" s="6" t="s">
        <v>45</v>
      </c>
      <c r="C12" s="6" t="s">
        <v>46</v>
      </c>
      <c r="D12" s="6" t="s">
        <v>16</v>
      </c>
      <c r="E12" s="7">
        <v>38.31</v>
      </c>
      <c r="F12" s="7">
        <v>0</v>
      </c>
      <c r="G12" s="4">
        <f t="shared" si="0"/>
        <v>38.31</v>
      </c>
      <c r="H12" s="4"/>
      <c r="I12" s="4">
        <f t="shared" si="1"/>
        <v>0</v>
      </c>
    </row>
    <row r="13" spans="1:9" hidden="1" x14ac:dyDescent="0.25">
      <c r="A13" s="5" t="s">
        <v>47</v>
      </c>
      <c r="B13" s="5" t="s">
        <v>45</v>
      </c>
      <c r="C13" s="5" t="s">
        <v>48</v>
      </c>
      <c r="D13" s="5" t="s">
        <v>16</v>
      </c>
      <c r="E13" s="4">
        <v>36.64</v>
      </c>
      <c r="F13" s="4">
        <v>0</v>
      </c>
      <c r="G13" s="4">
        <f t="shared" si="0"/>
        <v>36.64</v>
      </c>
      <c r="H13" s="4"/>
      <c r="I13" s="4">
        <f t="shared" si="1"/>
        <v>0</v>
      </c>
    </row>
    <row r="14" spans="1:9" hidden="1" x14ac:dyDescent="0.25">
      <c r="A14" s="6" t="s">
        <v>49</v>
      </c>
      <c r="B14" s="6" t="s">
        <v>42</v>
      </c>
      <c r="C14" s="6" t="s">
        <v>50</v>
      </c>
      <c r="D14" s="6" t="s">
        <v>24</v>
      </c>
      <c r="E14" s="7">
        <v>69.95</v>
      </c>
      <c r="F14" s="7">
        <v>0</v>
      </c>
      <c r="G14" s="4">
        <f t="shared" si="0"/>
        <v>69.95</v>
      </c>
      <c r="H14" s="4"/>
      <c r="I14" s="4">
        <f t="shared" si="1"/>
        <v>0</v>
      </c>
    </row>
    <row r="15" spans="1:9" hidden="1" x14ac:dyDescent="0.25">
      <c r="A15" s="5" t="s">
        <v>51</v>
      </c>
      <c r="B15" s="5" t="s">
        <v>52</v>
      </c>
      <c r="C15" s="5" t="s">
        <v>53</v>
      </c>
      <c r="D15" s="5" t="s">
        <v>24</v>
      </c>
      <c r="E15" s="4">
        <v>50.03</v>
      </c>
      <c r="F15" s="4">
        <v>0</v>
      </c>
      <c r="G15" s="4">
        <f t="shared" si="0"/>
        <v>50.03</v>
      </c>
      <c r="H15" s="4"/>
      <c r="I15" s="4">
        <f t="shared" si="1"/>
        <v>0</v>
      </c>
    </row>
    <row r="16" spans="1:9" hidden="1" x14ac:dyDescent="0.25">
      <c r="A16" s="6" t="s">
        <v>54</v>
      </c>
      <c r="B16" s="6" t="s">
        <v>55</v>
      </c>
      <c r="C16" s="6" t="s">
        <v>56</v>
      </c>
      <c r="D16" s="6" t="s">
        <v>24</v>
      </c>
      <c r="E16" s="7">
        <v>7.55</v>
      </c>
      <c r="F16" s="7">
        <v>0</v>
      </c>
      <c r="G16" s="4">
        <f t="shared" si="0"/>
        <v>7.55</v>
      </c>
      <c r="H16" s="4"/>
      <c r="I16" s="4">
        <f t="shared" si="1"/>
        <v>0</v>
      </c>
    </row>
    <row r="17" spans="1:9" hidden="1" x14ac:dyDescent="0.25">
      <c r="A17" s="5" t="s">
        <v>57</v>
      </c>
      <c r="B17" s="5" t="s">
        <v>39</v>
      </c>
      <c r="C17" s="5" t="s">
        <v>58</v>
      </c>
      <c r="D17" s="5" t="s">
        <v>24</v>
      </c>
      <c r="E17" s="4">
        <v>19.27</v>
      </c>
      <c r="F17" s="4">
        <v>0</v>
      </c>
      <c r="G17" s="4">
        <f t="shared" si="0"/>
        <v>19.27</v>
      </c>
      <c r="H17" s="4"/>
      <c r="I17" s="4">
        <f t="shared" si="1"/>
        <v>0</v>
      </c>
    </row>
    <row r="18" spans="1:9" hidden="1" x14ac:dyDescent="0.25">
      <c r="A18" s="6" t="s">
        <v>59</v>
      </c>
      <c r="B18" s="6" t="s">
        <v>60</v>
      </c>
      <c r="C18" s="6" t="s">
        <v>61</v>
      </c>
      <c r="D18" s="6" t="s">
        <v>24</v>
      </c>
      <c r="E18" s="7">
        <v>128.52000000000001</v>
      </c>
      <c r="F18" s="7">
        <v>0</v>
      </c>
      <c r="G18" s="4">
        <f t="shared" si="0"/>
        <v>128.52000000000001</v>
      </c>
      <c r="H18" s="4"/>
      <c r="I18" s="4">
        <f t="shared" si="1"/>
        <v>0</v>
      </c>
    </row>
    <row r="19" spans="1:9" hidden="1" x14ac:dyDescent="0.25">
      <c r="A19" s="5" t="s">
        <v>62</v>
      </c>
      <c r="B19" s="5" t="s">
        <v>63</v>
      </c>
      <c r="C19" s="5" t="s">
        <v>64</v>
      </c>
      <c r="D19" s="5" t="s">
        <v>65</v>
      </c>
      <c r="E19" s="4">
        <v>9.76</v>
      </c>
      <c r="F19" s="4">
        <v>0</v>
      </c>
      <c r="G19" s="4">
        <f t="shared" si="0"/>
        <v>9.76</v>
      </c>
      <c r="H19" s="4"/>
      <c r="I19" s="4">
        <f t="shared" si="1"/>
        <v>0</v>
      </c>
    </row>
    <row r="20" spans="1:9" hidden="1" x14ac:dyDescent="0.25">
      <c r="A20" s="6" t="s">
        <v>66</v>
      </c>
      <c r="B20" s="6" t="s">
        <v>67</v>
      </c>
      <c r="C20" s="6" t="s">
        <v>68</v>
      </c>
      <c r="D20" s="6" t="s">
        <v>69</v>
      </c>
      <c r="E20" s="7">
        <v>27.69</v>
      </c>
      <c r="F20" s="7">
        <v>0</v>
      </c>
      <c r="G20" s="4">
        <f t="shared" si="0"/>
        <v>27.69</v>
      </c>
      <c r="H20" s="4"/>
      <c r="I20" s="4">
        <f t="shared" si="1"/>
        <v>0</v>
      </c>
    </row>
    <row r="21" spans="1:9" hidden="1" x14ac:dyDescent="0.25">
      <c r="A21" s="6" t="s">
        <v>70</v>
      </c>
      <c r="B21" s="6" t="s">
        <v>55</v>
      </c>
      <c r="C21" s="6" t="s">
        <v>71</v>
      </c>
      <c r="D21" s="6" t="s">
        <v>72</v>
      </c>
      <c r="E21" s="7">
        <v>3.58</v>
      </c>
      <c r="F21" s="7">
        <v>0</v>
      </c>
      <c r="G21" s="4">
        <f t="shared" si="0"/>
        <v>3.58</v>
      </c>
      <c r="H21" s="4"/>
      <c r="I21" s="4">
        <f t="shared" si="1"/>
        <v>0</v>
      </c>
    </row>
    <row r="22" spans="1:9" hidden="1" x14ac:dyDescent="0.25">
      <c r="A22" s="6" t="s">
        <v>73</v>
      </c>
      <c r="B22" s="6" t="s">
        <v>74</v>
      </c>
      <c r="C22" s="6" t="s">
        <v>75</v>
      </c>
      <c r="D22" s="6" t="s">
        <v>24</v>
      </c>
      <c r="E22" s="7">
        <v>78.8</v>
      </c>
      <c r="F22" s="7">
        <v>0</v>
      </c>
      <c r="G22" s="4">
        <f t="shared" si="0"/>
        <v>78.8</v>
      </c>
      <c r="H22" s="4"/>
      <c r="I22" s="4">
        <f t="shared" si="1"/>
        <v>0</v>
      </c>
    </row>
    <row r="23" spans="1:9" hidden="1" x14ac:dyDescent="0.25">
      <c r="A23" s="5" t="s">
        <v>76</v>
      </c>
      <c r="B23" s="5" t="s">
        <v>77</v>
      </c>
      <c r="C23" s="5" t="s">
        <v>78</v>
      </c>
      <c r="D23" s="5" t="s">
        <v>24</v>
      </c>
      <c r="E23" s="4">
        <v>18.97</v>
      </c>
      <c r="F23" s="4">
        <v>0</v>
      </c>
      <c r="G23" s="4">
        <f t="shared" si="0"/>
        <v>18.97</v>
      </c>
      <c r="H23" s="4"/>
      <c r="I23" s="4">
        <f t="shared" si="1"/>
        <v>0</v>
      </c>
    </row>
    <row r="24" spans="1:9" hidden="1" x14ac:dyDescent="0.25">
      <c r="A24" s="6" t="s">
        <v>79</v>
      </c>
      <c r="B24" s="6" t="s">
        <v>80</v>
      </c>
      <c r="C24" s="11" t="s">
        <v>81</v>
      </c>
      <c r="D24" s="11" t="s">
        <v>24</v>
      </c>
      <c r="E24" s="7">
        <v>10.53</v>
      </c>
      <c r="F24" s="7">
        <v>0</v>
      </c>
      <c r="G24" s="9">
        <f t="shared" si="0"/>
        <v>10.53</v>
      </c>
      <c r="H24" s="10">
        <v>0</v>
      </c>
      <c r="I24" s="9">
        <f t="shared" si="1"/>
        <v>0</v>
      </c>
    </row>
    <row r="25" spans="1:9" hidden="1" x14ac:dyDescent="0.25">
      <c r="A25" s="5" t="s">
        <v>82</v>
      </c>
      <c r="B25" s="5" t="s">
        <v>55</v>
      </c>
      <c r="C25" s="5" t="s">
        <v>83</v>
      </c>
      <c r="D25" s="5" t="s">
        <v>37</v>
      </c>
      <c r="E25" s="4">
        <v>3.21</v>
      </c>
      <c r="F25" s="4">
        <v>0</v>
      </c>
      <c r="G25" s="4">
        <f t="shared" si="0"/>
        <v>3.21</v>
      </c>
      <c r="H25" s="4"/>
      <c r="I25" s="4">
        <f t="shared" si="1"/>
        <v>0</v>
      </c>
    </row>
    <row r="26" spans="1:9" hidden="1" x14ac:dyDescent="0.25">
      <c r="A26" s="6" t="s">
        <v>84</v>
      </c>
      <c r="B26" s="6" t="s">
        <v>85</v>
      </c>
      <c r="C26" s="11" t="s">
        <v>86</v>
      </c>
      <c r="D26" s="11" t="s">
        <v>24</v>
      </c>
      <c r="E26" s="7">
        <v>11.19</v>
      </c>
      <c r="F26" s="7">
        <v>0</v>
      </c>
      <c r="G26" s="9">
        <f t="shared" si="0"/>
        <v>11.19</v>
      </c>
      <c r="H26" s="10">
        <v>0</v>
      </c>
      <c r="I26" s="9">
        <f t="shared" si="1"/>
        <v>0</v>
      </c>
    </row>
    <row r="27" spans="1:9" hidden="1" x14ac:dyDescent="0.25">
      <c r="A27" s="5" t="s">
        <v>87</v>
      </c>
      <c r="B27" s="5" t="s">
        <v>77</v>
      </c>
      <c r="C27" s="8" t="s">
        <v>88</v>
      </c>
      <c r="D27" s="8" t="s">
        <v>24</v>
      </c>
      <c r="E27" s="4">
        <v>16.649999999999999</v>
      </c>
      <c r="F27" s="4">
        <v>0</v>
      </c>
      <c r="G27" s="9">
        <f t="shared" si="0"/>
        <v>16.649999999999999</v>
      </c>
      <c r="H27" s="10">
        <v>0</v>
      </c>
      <c r="I27" s="9">
        <f t="shared" si="1"/>
        <v>0</v>
      </c>
    </row>
    <row r="28" spans="1:9" hidden="1" x14ac:dyDescent="0.25">
      <c r="A28" s="5" t="s">
        <v>89</v>
      </c>
      <c r="B28" s="5" t="s">
        <v>85</v>
      </c>
      <c r="C28" s="5" t="s">
        <v>90</v>
      </c>
      <c r="D28" s="5" t="s">
        <v>24</v>
      </c>
      <c r="E28" s="4">
        <v>25.99</v>
      </c>
      <c r="F28" s="4">
        <v>0</v>
      </c>
      <c r="G28" s="4">
        <f t="shared" si="0"/>
        <v>25.99</v>
      </c>
      <c r="H28" s="4"/>
      <c r="I28" s="4">
        <f t="shared" si="1"/>
        <v>0</v>
      </c>
    </row>
    <row r="29" spans="1:9" hidden="1" x14ac:dyDescent="0.25">
      <c r="A29" s="6" t="s">
        <v>91</v>
      </c>
      <c r="B29" s="6" t="s">
        <v>92</v>
      </c>
      <c r="C29" s="6" t="s">
        <v>93</v>
      </c>
      <c r="D29" s="6" t="s">
        <v>24</v>
      </c>
      <c r="E29" s="7">
        <v>16.940000000000001</v>
      </c>
      <c r="F29" s="7">
        <v>0</v>
      </c>
      <c r="G29" s="4">
        <f t="shared" si="0"/>
        <v>16.940000000000001</v>
      </c>
      <c r="H29" s="4"/>
      <c r="I29" s="4">
        <f t="shared" si="1"/>
        <v>0</v>
      </c>
    </row>
    <row r="30" spans="1:9" hidden="1" x14ac:dyDescent="0.25">
      <c r="A30" s="5" t="s">
        <v>94</v>
      </c>
      <c r="B30" s="5" t="s">
        <v>95</v>
      </c>
      <c r="C30" s="5" t="s">
        <v>96</v>
      </c>
      <c r="D30" s="5" t="s">
        <v>12</v>
      </c>
      <c r="E30" s="4">
        <v>25.78</v>
      </c>
      <c r="F30" s="4">
        <v>0</v>
      </c>
      <c r="G30" s="4">
        <f t="shared" si="0"/>
        <v>25.78</v>
      </c>
      <c r="H30" s="4"/>
      <c r="I30" s="4">
        <f t="shared" si="1"/>
        <v>0</v>
      </c>
    </row>
    <row r="31" spans="1:9" hidden="1" x14ac:dyDescent="0.25">
      <c r="A31" s="6" t="s">
        <v>97</v>
      </c>
      <c r="B31" s="6" t="s">
        <v>55</v>
      </c>
      <c r="C31" s="6" t="s">
        <v>98</v>
      </c>
      <c r="D31" s="6" t="s">
        <v>24</v>
      </c>
      <c r="E31" s="7">
        <v>11.4</v>
      </c>
      <c r="F31" s="7">
        <v>0</v>
      </c>
      <c r="G31" s="4">
        <f t="shared" si="0"/>
        <v>11.4</v>
      </c>
      <c r="H31" s="4"/>
      <c r="I31" s="4">
        <f t="shared" si="1"/>
        <v>0</v>
      </c>
    </row>
    <row r="32" spans="1:9" hidden="1" x14ac:dyDescent="0.25">
      <c r="A32" s="5" t="s">
        <v>99</v>
      </c>
      <c r="B32" s="5" t="s">
        <v>55</v>
      </c>
      <c r="C32" s="5" t="s">
        <v>100</v>
      </c>
      <c r="D32" s="5" t="s">
        <v>24</v>
      </c>
      <c r="E32" s="4">
        <v>6.89</v>
      </c>
      <c r="F32" s="4">
        <v>0</v>
      </c>
      <c r="G32" s="4">
        <f t="shared" si="0"/>
        <v>6.89</v>
      </c>
      <c r="H32" s="4"/>
      <c r="I32" s="4">
        <f t="shared" si="1"/>
        <v>0</v>
      </c>
    </row>
    <row r="33" spans="1:9" hidden="1" x14ac:dyDescent="0.25">
      <c r="A33" s="6" t="s">
        <v>101</v>
      </c>
      <c r="B33" s="6" t="s">
        <v>102</v>
      </c>
      <c r="C33" s="6" t="s">
        <v>103</v>
      </c>
      <c r="D33" s="6" t="s">
        <v>16</v>
      </c>
      <c r="E33" s="7">
        <v>63.75</v>
      </c>
      <c r="F33" s="7">
        <v>0</v>
      </c>
      <c r="G33" s="4">
        <f t="shared" si="0"/>
        <v>63.75</v>
      </c>
      <c r="H33" s="4"/>
      <c r="I33" s="4">
        <f t="shared" si="1"/>
        <v>0</v>
      </c>
    </row>
    <row r="34" spans="1:9" hidden="1" x14ac:dyDescent="0.25">
      <c r="A34" s="5" t="s">
        <v>104</v>
      </c>
      <c r="B34" s="5" t="s">
        <v>105</v>
      </c>
      <c r="C34" s="5" t="s">
        <v>106</v>
      </c>
      <c r="D34" s="5" t="s">
        <v>16</v>
      </c>
      <c r="E34" s="4">
        <v>28.11</v>
      </c>
      <c r="F34" s="4">
        <v>0</v>
      </c>
      <c r="G34" s="4">
        <f t="shared" si="0"/>
        <v>28.11</v>
      </c>
      <c r="H34" s="4"/>
      <c r="I34" s="4">
        <f t="shared" si="1"/>
        <v>0</v>
      </c>
    </row>
    <row r="35" spans="1:9" hidden="1" x14ac:dyDescent="0.25">
      <c r="A35" s="6" t="s">
        <v>107</v>
      </c>
      <c r="B35" s="6" t="s">
        <v>55</v>
      </c>
      <c r="C35" s="6" t="s">
        <v>108</v>
      </c>
      <c r="D35" s="6" t="s">
        <v>24</v>
      </c>
      <c r="E35" s="7">
        <v>5.49</v>
      </c>
      <c r="F35" s="7">
        <v>0</v>
      </c>
      <c r="G35" s="4">
        <f t="shared" si="0"/>
        <v>5.49</v>
      </c>
      <c r="H35" s="4"/>
      <c r="I35" s="4">
        <f t="shared" si="1"/>
        <v>0</v>
      </c>
    </row>
    <row r="36" spans="1:9" hidden="1" x14ac:dyDescent="0.25">
      <c r="A36" s="5" t="s">
        <v>109</v>
      </c>
      <c r="B36" s="5" t="s">
        <v>102</v>
      </c>
      <c r="C36" s="5" t="s">
        <v>110</v>
      </c>
      <c r="D36" s="5" t="s">
        <v>16</v>
      </c>
      <c r="E36" s="4">
        <v>57.23</v>
      </c>
      <c r="F36" s="4">
        <v>0</v>
      </c>
      <c r="G36" s="4">
        <f t="shared" si="0"/>
        <v>57.23</v>
      </c>
      <c r="H36" s="4"/>
      <c r="I36" s="4">
        <f t="shared" si="1"/>
        <v>0</v>
      </c>
    </row>
    <row r="37" spans="1:9" hidden="1" x14ac:dyDescent="0.25">
      <c r="A37" s="6" t="s">
        <v>111</v>
      </c>
      <c r="B37" s="6" t="s">
        <v>112</v>
      </c>
      <c r="C37" s="6" t="s">
        <v>113</v>
      </c>
      <c r="D37" s="6" t="s">
        <v>114</v>
      </c>
      <c r="E37" s="7">
        <v>91.59</v>
      </c>
      <c r="F37" s="7">
        <v>0</v>
      </c>
      <c r="G37" s="4">
        <f t="shared" si="0"/>
        <v>91.59</v>
      </c>
      <c r="H37" s="4"/>
      <c r="I37" s="4">
        <f t="shared" si="1"/>
        <v>0</v>
      </c>
    </row>
    <row r="38" spans="1:9" hidden="1" x14ac:dyDescent="0.25">
      <c r="A38" s="5" t="s">
        <v>115</v>
      </c>
      <c r="B38" s="5" t="s">
        <v>116</v>
      </c>
      <c r="C38" s="5" t="s">
        <v>117</v>
      </c>
      <c r="D38" s="5" t="s">
        <v>20</v>
      </c>
      <c r="E38" s="4">
        <v>58.83</v>
      </c>
      <c r="F38" s="4">
        <v>0</v>
      </c>
      <c r="G38" s="4">
        <f t="shared" si="0"/>
        <v>58.83</v>
      </c>
      <c r="H38" s="4"/>
      <c r="I38" s="4">
        <f t="shared" si="1"/>
        <v>0</v>
      </c>
    </row>
    <row r="39" spans="1:9" hidden="1" x14ac:dyDescent="0.25">
      <c r="A39" s="6" t="s">
        <v>118</v>
      </c>
      <c r="B39" s="6" t="s">
        <v>119</v>
      </c>
      <c r="C39" s="6" t="s">
        <v>120</v>
      </c>
      <c r="D39" s="6" t="s">
        <v>20</v>
      </c>
      <c r="E39" s="7">
        <v>43.98</v>
      </c>
      <c r="F39" s="7">
        <v>0</v>
      </c>
      <c r="G39" s="4">
        <f t="shared" si="0"/>
        <v>43.98</v>
      </c>
      <c r="H39" s="4"/>
      <c r="I39" s="4">
        <f t="shared" si="1"/>
        <v>0</v>
      </c>
    </row>
    <row r="40" spans="1:9" hidden="1" x14ac:dyDescent="0.25">
      <c r="A40" s="5" t="s">
        <v>121</v>
      </c>
      <c r="B40" s="5" t="s">
        <v>122</v>
      </c>
      <c r="C40" s="5" t="s">
        <v>123</v>
      </c>
      <c r="D40" s="5" t="s">
        <v>12</v>
      </c>
      <c r="E40" s="4">
        <v>21.348199999999999</v>
      </c>
      <c r="F40" s="4">
        <v>0</v>
      </c>
      <c r="G40" s="4">
        <f t="shared" si="0"/>
        <v>21.348199999999999</v>
      </c>
      <c r="H40" s="4"/>
      <c r="I40" s="4">
        <f t="shared" si="1"/>
        <v>0</v>
      </c>
    </row>
    <row r="41" spans="1:9" hidden="1" x14ac:dyDescent="0.25">
      <c r="A41" s="6" t="s">
        <v>124</v>
      </c>
      <c r="B41" s="6" t="s">
        <v>95</v>
      </c>
      <c r="C41" s="6" t="s">
        <v>125</v>
      </c>
      <c r="D41" s="6" t="s">
        <v>20</v>
      </c>
      <c r="E41" s="7">
        <v>101.95</v>
      </c>
      <c r="F41" s="7">
        <v>0</v>
      </c>
      <c r="G41" s="4">
        <f t="shared" si="0"/>
        <v>101.95</v>
      </c>
      <c r="H41" s="4"/>
      <c r="I41" s="4">
        <f t="shared" si="1"/>
        <v>0</v>
      </c>
    </row>
    <row r="42" spans="1:9" hidden="1" x14ac:dyDescent="0.25">
      <c r="A42" s="5" t="s">
        <v>126</v>
      </c>
      <c r="B42" s="5" t="s">
        <v>127</v>
      </c>
      <c r="C42" s="5" t="s">
        <v>128</v>
      </c>
      <c r="D42" s="5" t="s">
        <v>16</v>
      </c>
      <c r="E42" s="4">
        <v>54.58</v>
      </c>
      <c r="F42" s="4">
        <v>0</v>
      </c>
      <c r="G42" s="4">
        <f t="shared" si="0"/>
        <v>54.58</v>
      </c>
      <c r="H42" s="4"/>
      <c r="I42" s="4">
        <f t="shared" si="1"/>
        <v>0</v>
      </c>
    </row>
    <row r="43" spans="1:9" hidden="1" x14ac:dyDescent="0.25">
      <c r="A43" s="6" t="s">
        <v>129</v>
      </c>
      <c r="B43" s="6" t="s">
        <v>130</v>
      </c>
      <c r="C43" s="6" t="s">
        <v>131</v>
      </c>
      <c r="D43" s="6" t="s">
        <v>114</v>
      </c>
      <c r="E43" s="7">
        <v>11.312099999999999</v>
      </c>
      <c r="F43" s="7">
        <v>0</v>
      </c>
      <c r="G43" s="4">
        <f t="shared" si="0"/>
        <v>11.312099999999999</v>
      </c>
      <c r="H43" s="4"/>
      <c r="I43" s="4">
        <f t="shared" si="1"/>
        <v>0</v>
      </c>
    </row>
    <row r="44" spans="1:9" hidden="1" x14ac:dyDescent="0.25">
      <c r="A44" s="5" t="s">
        <v>132</v>
      </c>
      <c r="B44" s="5" t="s">
        <v>133</v>
      </c>
      <c r="C44" s="5" t="s">
        <v>134</v>
      </c>
      <c r="D44" s="5" t="s">
        <v>20</v>
      </c>
      <c r="E44" s="4">
        <v>3.97</v>
      </c>
      <c r="F44" s="4">
        <v>0</v>
      </c>
      <c r="G44" s="4">
        <f t="shared" si="0"/>
        <v>3.97</v>
      </c>
      <c r="H44" s="4"/>
      <c r="I44" s="4">
        <f t="shared" si="1"/>
        <v>0</v>
      </c>
    </row>
    <row r="45" spans="1:9" hidden="1" x14ac:dyDescent="0.25">
      <c r="A45" s="6" t="s">
        <v>135</v>
      </c>
      <c r="B45" s="6" t="s">
        <v>92</v>
      </c>
      <c r="C45" s="6" t="s">
        <v>136</v>
      </c>
      <c r="D45" s="6" t="s">
        <v>65</v>
      </c>
      <c r="E45" s="7">
        <v>6.39</v>
      </c>
      <c r="F45" s="7">
        <v>0</v>
      </c>
      <c r="G45" s="4">
        <f t="shared" si="0"/>
        <v>6.39</v>
      </c>
      <c r="H45" s="4"/>
      <c r="I45" s="4">
        <f t="shared" si="1"/>
        <v>0</v>
      </c>
    </row>
    <row r="46" spans="1:9" hidden="1" x14ac:dyDescent="0.25">
      <c r="A46" s="5" t="s">
        <v>137</v>
      </c>
      <c r="B46" s="5" t="s">
        <v>92</v>
      </c>
      <c r="C46" s="5" t="s">
        <v>138</v>
      </c>
      <c r="D46" s="5" t="s">
        <v>65</v>
      </c>
      <c r="E46" s="4">
        <v>3.71</v>
      </c>
      <c r="F46" s="4">
        <v>0</v>
      </c>
      <c r="G46" s="4">
        <f t="shared" si="0"/>
        <v>3.71</v>
      </c>
      <c r="H46" s="4"/>
      <c r="I46" s="4">
        <f t="shared" si="1"/>
        <v>0</v>
      </c>
    </row>
    <row r="47" spans="1:9" hidden="1" x14ac:dyDescent="0.25">
      <c r="A47" s="6" t="s">
        <v>139</v>
      </c>
      <c r="B47" s="6" t="s">
        <v>140</v>
      </c>
      <c r="C47" s="6" t="s">
        <v>141</v>
      </c>
      <c r="D47" s="6" t="s">
        <v>20</v>
      </c>
      <c r="E47" s="7">
        <v>2.5099999999999998</v>
      </c>
      <c r="F47" s="7">
        <v>0</v>
      </c>
      <c r="G47" s="4">
        <f t="shared" si="0"/>
        <v>2.5099999999999998</v>
      </c>
      <c r="H47" s="4"/>
      <c r="I47" s="4">
        <f t="shared" si="1"/>
        <v>0</v>
      </c>
    </row>
    <row r="48" spans="1:9" hidden="1" x14ac:dyDescent="0.25">
      <c r="A48" s="5" t="s">
        <v>142</v>
      </c>
      <c r="B48" s="5" t="s">
        <v>55</v>
      </c>
      <c r="C48" s="5" t="s">
        <v>143</v>
      </c>
      <c r="D48" s="5" t="s">
        <v>24</v>
      </c>
      <c r="E48" s="4">
        <v>5.95</v>
      </c>
      <c r="F48" s="4">
        <v>0</v>
      </c>
      <c r="G48" s="4">
        <f t="shared" si="0"/>
        <v>5.95</v>
      </c>
      <c r="H48" s="4"/>
      <c r="I48" s="4">
        <f t="shared" si="1"/>
        <v>0</v>
      </c>
    </row>
    <row r="49" spans="1:9" hidden="1" x14ac:dyDescent="0.25">
      <c r="A49" s="6" t="s">
        <v>144</v>
      </c>
      <c r="B49" s="6" t="s">
        <v>55</v>
      </c>
      <c r="C49" s="6" t="s">
        <v>145</v>
      </c>
      <c r="D49" s="6" t="s">
        <v>24</v>
      </c>
      <c r="E49" s="7">
        <v>5.4301000000000004</v>
      </c>
      <c r="F49" s="7">
        <v>0</v>
      </c>
      <c r="G49" s="4">
        <f t="shared" si="0"/>
        <v>5.4301000000000004</v>
      </c>
      <c r="H49" s="4"/>
      <c r="I49" s="4">
        <f t="shared" si="1"/>
        <v>0</v>
      </c>
    </row>
    <row r="50" spans="1:9" hidden="1" x14ac:dyDescent="0.25">
      <c r="A50" s="5" t="s">
        <v>146</v>
      </c>
      <c r="B50" s="5" t="s">
        <v>55</v>
      </c>
      <c r="C50" s="5" t="s">
        <v>147</v>
      </c>
      <c r="D50" s="5" t="s">
        <v>24</v>
      </c>
      <c r="E50" s="4">
        <v>4</v>
      </c>
      <c r="F50" s="4">
        <v>0</v>
      </c>
      <c r="G50" s="4">
        <f t="shared" si="0"/>
        <v>4</v>
      </c>
      <c r="H50" s="4"/>
      <c r="I50" s="4">
        <f t="shared" si="1"/>
        <v>0</v>
      </c>
    </row>
    <row r="51" spans="1:9" hidden="1" x14ac:dyDescent="0.25">
      <c r="A51" s="6" t="s">
        <v>148</v>
      </c>
      <c r="B51" s="6" t="s">
        <v>55</v>
      </c>
      <c r="C51" s="6" t="s">
        <v>149</v>
      </c>
      <c r="D51" s="6" t="s">
        <v>37</v>
      </c>
      <c r="E51" s="7">
        <v>4.46</v>
      </c>
      <c r="F51" s="7">
        <v>0</v>
      </c>
      <c r="G51" s="4">
        <f t="shared" si="0"/>
        <v>4.46</v>
      </c>
      <c r="H51" s="4"/>
      <c r="I51" s="4">
        <f t="shared" si="1"/>
        <v>0</v>
      </c>
    </row>
    <row r="52" spans="1:9" hidden="1" x14ac:dyDescent="0.25">
      <c r="A52" s="5" t="s">
        <v>150</v>
      </c>
      <c r="B52" s="5" t="s">
        <v>151</v>
      </c>
      <c r="C52" s="5" t="s">
        <v>152</v>
      </c>
      <c r="D52" s="5" t="s">
        <v>16</v>
      </c>
      <c r="E52" s="4">
        <v>119.41</v>
      </c>
      <c r="F52" s="4">
        <v>0</v>
      </c>
      <c r="G52" s="4">
        <f t="shared" si="0"/>
        <v>119.41</v>
      </c>
      <c r="H52" s="4"/>
      <c r="I52" s="4">
        <f t="shared" si="1"/>
        <v>0</v>
      </c>
    </row>
    <row r="53" spans="1:9" x14ac:dyDescent="0.25">
      <c r="A53" s="6" t="s">
        <v>153</v>
      </c>
      <c r="B53" s="6" t="s">
        <v>154</v>
      </c>
      <c r="C53" s="11" t="s">
        <v>155</v>
      </c>
      <c r="D53" s="11" t="s">
        <v>24</v>
      </c>
      <c r="E53" s="7">
        <v>60</v>
      </c>
      <c r="F53" s="7">
        <v>0</v>
      </c>
      <c r="G53" s="9">
        <v>157.76</v>
      </c>
      <c r="H53" s="10">
        <v>0.3</v>
      </c>
      <c r="I53" s="9">
        <f t="shared" si="1"/>
        <v>47.327999999999996</v>
      </c>
    </row>
    <row r="54" spans="1:9" hidden="1" x14ac:dyDescent="0.25">
      <c r="A54" s="5" t="s">
        <v>156</v>
      </c>
      <c r="B54" s="5" t="s">
        <v>157</v>
      </c>
      <c r="C54" s="5" t="s">
        <v>158</v>
      </c>
      <c r="D54" s="5" t="s">
        <v>159</v>
      </c>
      <c r="E54" s="4">
        <v>21.5</v>
      </c>
      <c r="F54" s="4">
        <v>0</v>
      </c>
      <c r="G54" s="4">
        <f t="shared" si="0"/>
        <v>21.5</v>
      </c>
      <c r="H54" s="4"/>
      <c r="I54" s="4">
        <f t="shared" si="1"/>
        <v>0</v>
      </c>
    </row>
    <row r="55" spans="1:9" hidden="1" x14ac:dyDescent="0.25">
      <c r="A55" s="6" t="s">
        <v>160</v>
      </c>
      <c r="B55" s="6" t="s">
        <v>161</v>
      </c>
      <c r="C55" s="6" t="s">
        <v>162</v>
      </c>
      <c r="D55" s="6" t="s">
        <v>24</v>
      </c>
      <c r="E55" s="7">
        <v>43.62</v>
      </c>
      <c r="F55" s="7">
        <v>0</v>
      </c>
      <c r="G55" s="4">
        <f t="shared" si="0"/>
        <v>43.62</v>
      </c>
      <c r="H55" s="4"/>
      <c r="I55" s="4">
        <f t="shared" si="1"/>
        <v>0</v>
      </c>
    </row>
    <row r="56" spans="1:9" hidden="1" x14ac:dyDescent="0.25">
      <c r="A56" s="5" t="s">
        <v>163</v>
      </c>
      <c r="B56" s="5" t="s">
        <v>164</v>
      </c>
      <c r="C56" s="5" t="s">
        <v>165</v>
      </c>
      <c r="D56" s="5" t="s">
        <v>159</v>
      </c>
      <c r="E56" s="4">
        <v>76.44</v>
      </c>
      <c r="F56" s="4">
        <v>0</v>
      </c>
      <c r="G56" s="4">
        <f t="shared" si="0"/>
        <v>76.44</v>
      </c>
      <c r="H56" s="4"/>
      <c r="I56" s="4">
        <f t="shared" si="1"/>
        <v>0</v>
      </c>
    </row>
    <row r="57" spans="1:9" hidden="1" x14ac:dyDescent="0.25">
      <c r="A57" s="6" t="s">
        <v>166</v>
      </c>
      <c r="B57" s="6" t="s">
        <v>77</v>
      </c>
      <c r="C57" s="6" t="s">
        <v>167</v>
      </c>
      <c r="D57" s="6" t="s">
        <v>24</v>
      </c>
      <c r="E57" s="7">
        <v>39.97</v>
      </c>
      <c r="F57" s="7">
        <v>0</v>
      </c>
      <c r="G57" s="4">
        <f t="shared" si="0"/>
        <v>39.97</v>
      </c>
      <c r="H57" s="4"/>
      <c r="I57" s="4">
        <f t="shared" si="1"/>
        <v>0</v>
      </c>
    </row>
    <row r="58" spans="1:9" hidden="1" x14ac:dyDescent="0.25">
      <c r="A58" s="5" t="s">
        <v>168</v>
      </c>
      <c r="B58" s="5" t="s">
        <v>169</v>
      </c>
      <c r="C58" s="5" t="s">
        <v>170</v>
      </c>
      <c r="D58" s="5" t="s">
        <v>171</v>
      </c>
      <c r="E58" s="4">
        <v>14.8317</v>
      </c>
      <c r="F58" s="4">
        <v>0</v>
      </c>
      <c r="G58" s="4">
        <f t="shared" si="0"/>
        <v>14.8317</v>
      </c>
      <c r="H58" s="4"/>
      <c r="I58" s="4">
        <f t="shared" si="1"/>
        <v>0</v>
      </c>
    </row>
    <row r="59" spans="1:9" hidden="1" x14ac:dyDescent="0.25">
      <c r="A59" s="6" t="s">
        <v>172</v>
      </c>
      <c r="B59" s="6" t="s">
        <v>169</v>
      </c>
      <c r="C59" s="6" t="s">
        <v>173</v>
      </c>
      <c r="D59" s="6" t="s">
        <v>171</v>
      </c>
      <c r="E59" s="7">
        <v>14.6654</v>
      </c>
      <c r="F59" s="7">
        <v>0</v>
      </c>
      <c r="G59" s="4">
        <f t="shared" si="0"/>
        <v>14.6654</v>
      </c>
      <c r="H59" s="4"/>
      <c r="I59" s="4">
        <f t="shared" si="1"/>
        <v>0</v>
      </c>
    </row>
    <row r="60" spans="1:9" hidden="1" x14ac:dyDescent="0.25">
      <c r="A60" s="5" t="s">
        <v>174</v>
      </c>
      <c r="B60" s="5" t="s">
        <v>175</v>
      </c>
      <c r="C60" s="5" t="s">
        <v>176</v>
      </c>
      <c r="D60" s="5" t="s">
        <v>114</v>
      </c>
      <c r="E60" s="4">
        <v>18.96</v>
      </c>
      <c r="F60" s="4">
        <v>0</v>
      </c>
      <c r="G60" s="4">
        <f t="shared" si="0"/>
        <v>18.96</v>
      </c>
      <c r="H60" s="4"/>
      <c r="I60" s="4">
        <f t="shared" si="1"/>
        <v>0</v>
      </c>
    </row>
    <row r="61" spans="1:9" hidden="1" x14ac:dyDescent="0.25">
      <c r="A61" s="6" t="s">
        <v>177</v>
      </c>
      <c r="B61" s="6" t="s">
        <v>169</v>
      </c>
      <c r="C61" s="6" t="s">
        <v>178</v>
      </c>
      <c r="D61" s="6" t="s">
        <v>20</v>
      </c>
      <c r="E61" s="7">
        <v>14.6654</v>
      </c>
      <c r="F61" s="7">
        <v>0</v>
      </c>
      <c r="G61" s="4">
        <f t="shared" si="0"/>
        <v>14.6654</v>
      </c>
      <c r="H61" s="4"/>
      <c r="I61" s="4">
        <f t="shared" si="1"/>
        <v>0</v>
      </c>
    </row>
    <row r="62" spans="1:9" hidden="1" x14ac:dyDescent="0.25">
      <c r="A62" s="5" t="s">
        <v>179</v>
      </c>
      <c r="B62" s="5" t="s">
        <v>175</v>
      </c>
      <c r="C62" s="5" t="s">
        <v>180</v>
      </c>
      <c r="D62" s="5" t="s">
        <v>114</v>
      </c>
      <c r="E62" s="4">
        <v>18.59</v>
      </c>
      <c r="F62" s="4">
        <v>0</v>
      </c>
      <c r="G62" s="4">
        <f t="shared" si="0"/>
        <v>18.59</v>
      </c>
      <c r="H62" s="4"/>
      <c r="I62" s="4">
        <f t="shared" si="1"/>
        <v>0</v>
      </c>
    </row>
    <row r="63" spans="1:9" hidden="1" x14ac:dyDescent="0.25">
      <c r="A63" s="6" t="s">
        <v>181</v>
      </c>
      <c r="B63" s="6" t="s">
        <v>55</v>
      </c>
      <c r="C63" s="6" t="s">
        <v>182</v>
      </c>
      <c r="D63" s="6" t="s">
        <v>24</v>
      </c>
      <c r="E63" s="7">
        <v>18.48</v>
      </c>
      <c r="F63" s="7">
        <v>0</v>
      </c>
      <c r="G63" s="4">
        <f t="shared" si="0"/>
        <v>18.48</v>
      </c>
      <c r="H63" s="4"/>
      <c r="I63" s="4">
        <f t="shared" si="1"/>
        <v>0</v>
      </c>
    </row>
    <row r="64" spans="1:9" hidden="1" x14ac:dyDescent="0.25">
      <c r="A64" s="5" t="s">
        <v>183</v>
      </c>
      <c r="B64" s="5" t="s">
        <v>55</v>
      </c>
      <c r="C64" s="5" t="s">
        <v>184</v>
      </c>
      <c r="D64" s="5" t="s">
        <v>24</v>
      </c>
      <c r="E64" s="4">
        <v>19.71</v>
      </c>
      <c r="F64" s="4">
        <v>0</v>
      </c>
      <c r="G64" s="4">
        <f t="shared" si="0"/>
        <v>19.71</v>
      </c>
      <c r="H64" s="4"/>
      <c r="I64" s="4">
        <f t="shared" si="1"/>
        <v>0</v>
      </c>
    </row>
    <row r="65" spans="1:9" hidden="1" x14ac:dyDescent="0.25">
      <c r="A65" s="6" t="s">
        <v>185</v>
      </c>
      <c r="B65" s="6" t="s">
        <v>186</v>
      </c>
      <c r="C65" s="6" t="s">
        <v>187</v>
      </c>
      <c r="D65" s="6" t="s">
        <v>16</v>
      </c>
      <c r="E65" s="7">
        <v>120.32</v>
      </c>
      <c r="F65" s="7">
        <v>0</v>
      </c>
      <c r="G65" s="4">
        <f t="shared" si="0"/>
        <v>120.32</v>
      </c>
      <c r="H65" s="4"/>
      <c r="I65" s="4">
        <f t="shared" si="1"/>
        <v>0</v>
      </c>
    </row>
    <row r="66" spans="1:9" hidden="1" x14ac:dyDescent="0.25">
      <c r="A66" s="5" t="s">
        <v>188</v>
      </c>
      <c r="B66" s="5" t="s">
        <v>186</v>
      </c>
      <c r="C66" s="5" t="s">
        <v>189</v>
      </c>
      <c r="D66" s="5" t="s">
        <v>159</v>
      </c>
      <c r="E66" s="4">
        <v>119.35</v>
      </c>
      <c r="F66" s="4">
        <v>0</v>
      </c>
      <c r="G66" s="4">
        <f t="shared" ref="G66:G129" si="2">SUM(E66:F66)</f>
        <v>119.35</v>
      </c>
      <c r="H66" s="4"/>
      <c r="I66" s="4">
        <f t="shared" si="1"/>
        <v>0</v>
      </c>
    </row>
    <row r="67" spans="1:9" hidden="1" x14ac:dyDescent="0.25">
      <c r="A67" s="6" t="s">
        <v>190</v>
      </c>
      <c r="B67" s="6" t="s">
        <v>55</v>
      </c>
      <c r="C67" s="6" t="s">
        <v>191</v>
      </c>
      <c r="D67" s="6" t="s">
        <v>24</v>
      </c>
      <c r="E67" s="7">
        <v>18.29</v>
      </c>
      <c r="F67" s="7">
        <v>0</v>
      </c>
      <c r="G67" s="4">
        <f t="shared" si="2"/>
        <v>18.29</v>
      </c>
      <c r="H67" s="4"/>
      <c r="I67" s="4">
        <f t="shared" ref="I67:I130" si="3">G67*H67</f>
        <v>0</v>
      </c>
    </row>
    <row r="68" spans="1:9" hidden="1" x14ac:dyDescent="0.25">
      <c r="A68" s="5" t="s">
        <v>192</v>
      </c>
      <c r="B68" s="5" t="s">
        <v>55</v>
      </c>
      <c r="C68" s="5" t="s">
        <v>193</v>
      </c>
      <c r="D68" s="5" t="s">
        <v>24</v>
      </c>
      <c r="E68" s="4">
        <v>17.829999999999998</v>
      </c>
      <c r="F68" s="4">
        <v>0</v>
      </c>
      <c r="G68" s="4">
        <f t="shared" si="2"/>
        <v>17.829999999999998</v>
      </c>
      <c r="H68" s="4"/>
      <c r="I68" s="4">
        <f t="shared" si="3"/>
        <v>0</v>
      </c>
    </row>
    <row r="69" spans="1:9" hidden="1" x14ac:dyDescent="0.25">
      <c r="A69" s="6" t="s">
        <v>194</v>
      </c>
      <c r="B69" s="6" t="s">
        <v>55</v>
      </c>
      <c r="C69" s="6" t="s">
        <v>195</v>
      </c>
      <c r="D69" s="6" t="s">
        <v>24</v>
      </c>
      <c r="E69" s="7">
        <v>37.78</v>
      </c>
      <c r="F69" s="7">
        <v>0</v>
      </c>
      <c r="G69" s="4">
        <f t="shared" si="2"/>
        <v>37.78</v>
      </c>
      <c r="H69" s="4"/>
      <c r="I69" s="4">
        <f t="shared" si="3"/>
        <v>0</v>
      </c>
    </row>
    <row r="70" spans="1:9" hidden="1" x14ac:dyDescent="0.25">
      <c r="A70" s="5" t="s">
        <v>196</v>
      </c>
      <c r="B70" s="5" t="s">
        <v>55</v>
      </c>
      <c r="C70" s="5" t="s">
        <v>197</v>
      </c>
      <c r="D70" s="5" t="s">
        <v>24</v>
      </c>
      <c r="E70" s="4">
        <v>42.01</v>
      </c>
      <c r="F70" s="4">
        <v>0</v>
      </c>
      <c r="G70" s="4">
        <f t="shared" si="2"/>
        <v>42.01</v>
      </c>
      <c r="H70" s="4"/>
      <c r="I70" s="4">
        <f t="shared" si="3"/>
        <v>0</v>
      </c>
    </row>
    <row r="71" spans="1:9" hidden="1" x14ac:dyDescent="0.25">
      <c r="A71" s="6" t="s">
        <v>198</v>
      </c>
      <c r="B71" s="6" t="s">
        <v>32</v>
      </c>
      <c r="C71" s="6" t="s">
        <v>199</v>
      </c>
      <c r="D71" s="6" t="s">
        <v>24</v>
      </c>
      <c r="E71" s="7">
        <v>86.06</v>
      </c>
      <c r="F71" s="7">
        <v>0</v>
      </c>
      <c r="G71" s="4">
        <f t="shared" si="2"/>
        <v>86.06</v>
      </c>
      <c r="H71" s="4"/>
      <c r="I71" s="4">
        <f t="shared" si="3"/>
        <v>0</v>
      </c>
    </row>
    <row r="72" spans="1:9" hidden="1" x14ac:dyDescent="0.25">
      <c r="A72" s="5" t="s">
        <v>200</v>
      </c>
      <c r="B72" s="5" t="s">
        <v>55</v>
      </c>
      <c r="C72" s="5" t="s">
        <v>201</v>
      </c>
      <c r="D72" s="5" t="s">
        <v>24</v>
      </c>
      <c r="E72" s="4">
        <v>19.510000000000002</v>
      </c>
      <c r="F72" s="4">
        <v>0</v>
      </c>
      <c r="G72" s="4">
        <f t="shared" si="2"/>
        <v>19.510000000000002</v>
      </c>
      <c r="H72" s="4"/>
      <c r="I72" s="4">
        <f t="shared" si="3"/>
        <v>0</v>
      </c>
    </row>
    <row r="73" spans="1:9" hidden="1" x14ac:dyDescent="0.25">
      <c r="A73" s="6" t="s">
        <v>202</v>
      </c>
      <c r="B73" s="6" t="s">
        <v>203</v>
      </c>
      <c r="C73" s="6" t="s">
        <v>204</v>
      </c>
      <c r="D73" s="6" t="s">
        <v>24</v>
      </c>
      <c r="E73" s="7">
        <v>30.6172</v>
      </c>
      <c r="F73" s="7">
        <v>0</v>
      </c>
      <c r="G73" s="4">
        <f t="shared" si="2"/>
        <v>30.6172</v>
      </c>
      <c r="H73" s="4"/>
      <c r="I73" s="4">
        <f t="shared" si="3"/>
        <v>0</v>
      </c>
    </row>
    <row r="74" spans="1:9" hidden="1" x14ac:dyDescent="0.25">
      <c r="A74" s="6" t="s">
        <v>205</v>
      </c>
      <c r="B74" s="6" t="s">
        <v>206</v>
      </c>
      <c r="C74" s="6" t="s">
        <v>207</v>
      </c>
      <c r="D74" s="6" t="s">
        <v>20</v>
      </c>
      <c r="E74" s="7">
        <v>34.950000000000003</v>
      </c>
      <c r="F74" s="7">
        <v>0</v>
      </c>
      <c r="G74" s="4">
        <f t="shared" si="2"/>
        <v>34.950000000000003</v>
      </c>
      <c r="H74" s="4"/>
      <c r="I74" s="4">
        <f t="shared" si="3"/>
        <v>0</v>
      </c>
    </row>
    <row r="75" spans="1:9" hidden="1" x14ac:dyDescent="0.25">
      <c r="A75" s="5" t="s">
        <v>208</v>
      </c>
      <c r="B75" s="5" t="s">
        <v>209</v>
      </c>
      <c r="C75" s="5" t="s">
        <v>210</v>
      </c>
      <c r="D75" s="5" t="s">
        <v>211</v>
      </c>
      <c r="E75" s="4">
        <v>38.03</v>
      </c>
      <c r="F75" s="4">
        <v>0</v>
      </c>
      <c r="G75" s="4">
        <f t="shared" si="2"/>
        <v>38.03</v>
      </c>
      <c r="H75" s="4"/>
      <c r="I75" s="4">
        <f t="shared" si="3"/>
        <v>0</v>
      </c>
    </row>
    <row r="76" spans="1:9" hidden="1" x14ac:dyDescent="0.25">
      <c r="A76" s="6" t="s">
        <v>212</v>
      </c>
      <c r="B76" s="6" t="s">
        <v>213</v>
      </c>
      <c r="C76" s="6" t="s">
        <v>214</v>
      </c>
      <c r="D76" s="6" t="s">
        <v>211</v>
      </c>
      <c r="E76" s="7">
        <v>47.8902</v>
      </c>
      <c r="F76" s="7">
        <v>0</v>
      </c>
      <c r="G76" s="4">
        <f t="shared" si="2"/>
        <v>47.8902</v>
      </c>
      <c r="H76" s="4"/>
      <c r="I76" s="4">
        <f t="shared" si="3"/>
        <v>0</v>
      </c>
    </row>
    <row r="77" spans="1:9" hidden="1" x14ac:dyDescent="0.25">
      <c r="A77" s="5" t="s">
        <v>215</v>
      </c>
      <c r="B77" s="5" t="s">
        <v>216</v>
      </c>
      <c r="C77" s="5" t="s">
        <v>217</v>
      </c>
      <c r="D77" s="5" t="s">
        <v>20</v>
      </c>
      <c r="E77" s="4">
        <v>43.51</v>
      </c>
      <c r="F77" s="4">
        <v>0</v>
      </c>
      <c r="G77" s="4">
        <f t="shared" si="2"/>
        <v>43.51</v>
      </c>
      <c r="H77" s="4"/>
      <c r="I77" s="4">
        <f t="shared" si="3"/>
        <v>0</v>
      </c>
    </row>
    <row r="78" spans="1:9" hidden="1" x14ac:dyDescent="0.25">
      <c r="A78" s="6" t="s">
        <v>218</v>
      </c>
      <c r="B78" s="6" t="s">
        <v>219</v>
      </c>
      <c r="C78" s="6" t="s">
        <v>220</v>
      </c>
      <c r="D78" s="6" t="s">
        <v>211</v>
      </c>
      <c r="E78" s="7">
        <v>44.77</v>
      </c>
      <c r="F78" s="7">
        <v>0</v>
      </c>
      <c r="G78" s="4">
        <f t="shared" si="2"/>
        <v>44.77</v>
      </c>
      <c r="H78" s="4"/>
      <c r="I78" s="4">
        <f t="shared" si="3"/>
        <v>0</v>
      </c>
    </row>
    <row r="79" spans="1:9" hidden="1" x14ac:dyDescent="0.25">
      <c r="A79" s="5" t="s">
        <v>221</v>
      </c>
      <c r="B79" s="5" t="s">
        <v>222</v>
      </c>
      <c r="C79" s="5" t="s">
        <v>223</v>
      </c>
      <c r="D79" s="5" t="s">
        <v>211</v>
      </c>
      <c r="E79" s="4">
        <v>4.75</v>
      </c>
      <c r="F79" s="4">
        <v>0</v>
      </c>
      <c r="G79" s="4">
        <f t="shared" si="2"/>
        <v>4.75</v>
      </c>
      <c r="H79" s="4"/>
      <c r="I79" s="4">
        <f t="shared" si="3"/>
        <v>0</v>
      </c>
    </row>
    <row r="80" spans="1:9" hidden="1" x14ac:dyDescent="0.25">
      <c r="A80" s="6" t="s">
        <v>224</v>
      </c>
      <c r="B80" s="6" t="s">
        <v>209</v>
      </c>
      <c r="C80" s="6" t="s">
        <v>225</v>
      </c>
      <c r="D80" s="6" t="s">
        <v>171</v>
      </c>
      <c r="E80" s="7">
        <v>13.64</v>
      </c>
      <c r="F80" s="7">
        <v>0</v>
      </c>
      <c r="G80" s="4">
        <f t="shared" si="2"/>
        <v>13.64</v>
      </c>
      <c r="H80" s="4"/>
      <c r="I80" s="4">
        <f t="shared" si="3"/>
        <v>0</v>
      </c>
    </row>
    <row r="81" spans="1:9" hidden="1" x14ac:dyDescent="0.25">
      <c r="A81" s="5" t="s">
        <v>226</v>
      </c>
      <c r="B81" s="5" t="s">
        <v>227</v>
      </c>
      <c r="C81" s="5" t="s">
        <v>228</v>
      </c>
      <c r="D81" s="5" t="s">
        <v>20</v>
      </c>
      <c r="E81" s="4">
        <v>2.36</v>
      </c>
      <c r="F81" s="4">
        <v>0</v>
      </c>
      <c r="G81" s="4">
        <f t="shared" si="2"/>
        <v>2.36</v>
      </c>
      <c r="H81" s="4"/>
      <c r="I81" s="4">
        <f t="shared" si="3"/>
        <v>0</v>
      </c>
    </row>
    <row r="82" spans="1:9" hidden="1" x14ac:dyDescent="0.25">
      <c r="A82" s="6" t="s">
        <v>229</v>
      </c>
      <c r="B82" s="6" t="s">
        <v>230</v>
      </c>
      <c r="C82" s="6" t="s">
        <v>231</v>
      </c>
      <c r="D82" s="6" t="s">
        <v>171</v>
      </c>
      <c r="E82" s="7">
        <v>16.21</v>
      </c>
      <c r="F82" s="7">
        <v>0</v>
      </c>
      <c r="G82" s="4">
        <f t="shared" si="2"/>
        <v>16.21</v>
      </c>
      <c r="H82" s="4"/>
      <c r="I82" s="4">
        <f t="shared" si="3"/>
        <v>0</v>
      </c>
    </row>
    <row r="83" spans="1:9" hidden="1" x14ac:dyDescent="0.25">
      <c r="A83" s="5" t="s">
        <v>232</v>
      </c>
      <c r="B83" s="5" t="s">
        <v>32</v>
      </c>
      <c r="C83" s="5" t="s">
        <v>233</v>
      </c>
      <c r="D83" s="5" t="s">
        <v>171</v>
      </c>
      <c r="E83" s="4">
        <v>4.2457000000000003</v>
      </c>
      <c r="F83" s="4">
        <v>0</v>
      </c>
      <c r="G83" s="4">
        <f t="shared" si="2"/>
        <v>4.2457000000000003</v>
      </c>
      <c r="H83" s="4"/>
      <c r="I83" s="4">
        <f t="shared" si="3"/>
        <v>0</v>
      </c>
    </row>
    <row r="84" spans="1:9" hidden="1" x14ac:dyDescent="0.25">
      <c r="A84" s="6" t="s">
        <v>234</v>
      </c>
      <c r="B84" s="6" t="s">
        <v>235</v>
      </c>
      <c r="C84" s="6" t="s">
        <v>236</v>
      </c>
      <c r="D84" s="6" t="s">
        <v>114</v>
      </c>
      <c r="E84" s="7">
        <v>14.04</v>
      </c>
      <c r="F84" s="7">
        <v>0</v>
      </c>
      <c r="G84" s="4">
        <f t="shared" si="2"/>
        <v>14.04</v>
      </c>
      <c r="H84" s="4"/>
      <c r="I84" s="4">
        <f t="shared" si="3"/>
        <v>0</v>
      </c>
    </row>
    <row r="85" spans="1:9" hidden="1" x14ac:dyDescent="0.25">
      <c r="A85" s="5" t="s">
        <v>237</v>
      </c>
      <c r="B85" s="5" t="s">
        <v>55</v>
      </c>
      <c r="C85" s="5" t="s">
        <v>238</v>
      </c>
      <c r="D85" s="5" t="s">
        <v>24</v>
      </c>
      <c r="E85" s="4">
        <v>31.25</v>
      </c>
      <c r="F85" s="4">
        <v>0</v>
      </c>
      <c r="G85" s="4">
        <f t="shared" si="2"/>
        <v>31.25</v>
      </c>
      <c r="H85" s="4"/>
      <c r="I85" s="4">
        <f t="shared" si="3"/>
        <v>0</v>
      </c>
    </row>
    <row r="86" spans="1:9" hidden="1" x14ac:dyDescent="0.25">
      <c r="A86" s="6" t="s">
        <v>239</v>
      </c>
      <c r="B86" s="6" t="s">
        <v>55</v>
      </c>
      <c r="C86" s="6" t="s">
        <v>240</v>
      </c>
      <c r="D86" s="6" t="s">
        <v>24</v>
      </c>
      <c r="E86" s="7">
        <v>22.32</v>
      </c>
      <c r="F86" s="7">
        <v>0</v>
      </c>
      <c r="G86" s="4">
        <f t="shared" si="2"/>
        <v>22.32</v>
      </c>
      <c r="H86" s="4"/>
      <c r="I86" s="4">
        <f t="shared" si="3"/>
        <v>0</v>
      </c>
    </row>
    <row r="87" spans="1:9" hidden="1" x14ac:dyDescent="0.25">
      <c r="A87" s="5" t="s">
        <v>241</v>
      </c>
      <c r="B87" s="5" t="s">
        <v>55</v>
      </c>
      <c r="C87" s="5" t="s">
        <v>242</v>
      </c>
      <c r="D87" s="5" t="s">
        <v>24</v>
      </c>
      <c r="E87" s="4">
        <v>27.5</v>
      </c>
      <c r="F87" s="4">
        <v>0</v>
      </c>
      <c r="G87" s="4">
        <f t="shared" si="2"/>
        <v>27.5</v>
      </c>
      <c r="H87" s="4"/>
      <c r="I87" s="4">
        <f t="shared" si="3"/>
        <v>0</v>
      </c>
    </row>
    <row r="88" spans="1:9" hidden="1" x14ac:dyDescent="0.25">
      <c r="A88" s="6" t="s">
        <v>243</v>
      </c>
      <c r="B88" s="6" t="s">
        <v>230</v>
      </c>
      <c r="C88" s="6" t="s">
        <v>244</v>
      </c>
      <c r="D88" s="6" t="s">
        <v>171</v>
      </c>
      <c r="E88" s="7">
        <v>26.36</v>
      </c>
      <c r="F88" s="7">
        <v>0</v>
      </c>
      <c r="G88" s="4">
        <f t="shared" si="2"/>
        <v>26.36</v>
      </c>
      <c r="H88" s="4"/>
      <c r="I88" s="4">
        <f t="shared" si="3"/>
        <v>0</v>
      </c>
    </row>
    <row r="89" spans="1:9" hidden="1" x14ac:dyDescent="0.25">
      <c r="A89" s="5" t="s">
        <v>245</v>
      </c>
      <c r="B89" s="5" t="s">
        <v>55</v>
      </c>
      <c r="C89" s="5" t="s">
        <v>246</v>
      </c>
      <c r="D89" s="5" t="s">
        <v>24</v>
      </c>
      <c r="E89" s="4">
        <v>3.24</v>
      </c>
      <c r="F89" s="4">
        <v>0</v>
      </c>
      <c r="G89" s="4">
        <f t="shared" si="2"/>
        <v>3.24</v>
      </c>
      <c r="H89" s="4"/>
      <c r="I89" s="4">
        <f t="shared" si="3"/>
        <v>0</v>
      </c>
    </row>
    <row r="90" spans="1:9" hidden="1" x14ac:dyDescent="0.25">
      <c r="A90" s="6" t="s">
        <v>247</v>
      </c>
      <c r="B90" s="6" t="s">
        <v>248</v>
      </c>
      <c r="C90" s="6" t="s">
        <v>249</v>
      </c>
      <c r="D90" s="6" t="s">
        <v>24</v>
      </c>
      <c r="E90" s="7">
        <v>6.98</v>
      </c>
      <c r="F90" s="7">
        <v>0</v>
      </c>
      <c r="G90" s="4">
        <f t="shared" si="2"/>
        <v>6.98</v>
      </c>
      <c r="H90" s="4"/>
      <c r="I90" s="4">
        <f t="shared" si="3"/>
        <v>0</v>
      </c>
    </row>
    <row r="91" spans="1:9" x14ac:dyDescent="0.25">
      <c r="A91" s="5" t="s">
        <v>250</v>
      </c>
      <c r="B91" s="5" t="s">
        <v>251</v>
      </c>
      <c r="C91" s="8" t="s">
        <v>252</v>
      </c>
      <c r="D91" s="8" t="s">
        <v>24</v>
      </c>
      <c r="E91" s="4">
        <v>8.5299999999999994</v>
      </c>
      <c r="F91" s="4">
        <v>0</v>
      </c>
      <c r="G91" s="9">
        <v>7.61</v>
      </c>
      <c r="H91" s="10">
        <v>0.5</v>
      </c>
      <c r="I91" s="9">
        <f t="shared" si="3"/>
        <v>3.8050000000000002</v>
      </c>
    </row>
    <row r="92" spans="1:9" hidden="1" x14ac:dyDescent="0.25">
      <c r="A92" s="6" t="s">
        <v>253</v>
      </c>
      <c r="B92" s="6" t="s">
        <v>248</v>
      </c>
      <c r="C92" s="6" t="s">
        <v>254</v>
      </c>
      <c r="D92" s="6" t="s">
        <v>24</v>
      </c>
      <c r="E92" s="7">
        <v>8.4</v>
      </c>
      <c r="F92" s="7">
        <v>0</v>
      </c>
      <c r="G92" s="4">
        <f t="shared" si="2"/>
        <v>8.4</v>
      </c>
      <c r="H92" s="4"/>
      <c r="I92" s="4">
        <f t="shared" si="3"/>
        <v>0</v>
      </c>
    </row>
    <row r="93" spans="1:9" hidden="1" x14ac:dyDescent="0.25">
      <c r="A93" s="5" t="s">
        <v>255</v>
      </c>
      <c r="B93" s="5" t="s">
        <v>256</v>
      </c>
      <c r="C93" s="5" t="s">
        <v>257</v>
      </c>
      <c r="D93" s="5" t="s">
        <v>24</v>
      </c>
      <c r="E93" s="4">
        <v>9.36</v>
      </c>
      <c r="F93" s="4">
        <v>0.93600000000000005</v>
      </c>
      <c r="G93" s="4">
        <f t="shared" si="2"/>
        <v>10.295999999999999</v>
      </c>
      <c r="H93" s="4"/>
      <c r="I93" s="4">
        <f t="shared" si="3"/>
        <v>0</v>
      </c>
    </row>
    <row r="94" spans="1:9" hidden="1" x14ac:dyDescent="0.25">
      <c r="A94" s="6" t="s">
        <v>258</v>
      </c>
      <c r="B94" s="6" t="s">
        <v>259</v>
      </c>
      <c r="C94" s="6" t="s">
        <v>260</v>
      </c>
      <c r="D94" s="6" t="s">
        <v>211</v>
      </c>
      <c r="E94" s="7">
        <v>15.82</v>
      </c>
      <c r="F94" s="7">
        <v>0</v>
      </c>
      <c r="G94" s="4">
        <f t="shared" si="2"/>
        <v>15.82</v>
      </c>
      <c r="H94" s="4"/>
      <c r="I94" s="4">
        <f t="shared" si="3"/>
        <v>0</v>
      </c>
    </row>
    <row r="95" spans="1:9" hidden="1" x14ac:dyDescent="0.25">
      <c r="A95" s="5" t="s">
        <v>261</v>
      </c>
      <c r="B95" s="5" t="s">
        <v>262</v>
      </c>
      <c r="C95" s="5" t="s">
        <v>263</v>
      </c>
      <c r="D95" s="5" t="s">
        <v>65</v>
      </c>
      <c r="E95" s="4">
        <v>9.9877000000000002</v>
      </c>
      <c r="F95" s="4">
        <v>0</v>
      </c>
      <c r="G95" s="4">
        <f t="shared" si="2"/>
        <v>9.9877000000000002</v>
      </c>
      <c r="H95" s="4"/>
      <c r="I95" s="4">
        <f t="shared" si="3"/>
        <v>0</v>
      </c>
    </row>
    <row r="96" spans="1:9" hidden="1" x14ac:dyDescent="0.25">
      <c r="A96" s="6" t="s">
        <v>264</v>
      </c>
      <c r="B96" s="6" t="s">
        <v>265</v>
      </c>
      <c r="C96" s="6" t="s">
        <v>266</v>
      </c>
      <c r="D96" s="6" t="s">
        <v>65</v>
      </c>
      <c r="E96" s="7">
        <v>3.9</v>
      </c>
      <c r="F96" s="7">
        <v>0</v>
      </c>
      <c r="G96" s="4">
        <f t="shared" si="2"/>
        <v>3.9</v>
      </c>
      <c r="H96" s="4"/>
      <c r="I96" s="4">
        <f t="shared" si="3"/>
        <v>0</v>
      </c>
    </row>
    <row r="97" spans="1:9" hidden="1" x14ac:dyDescent="0.25">
      <c r="A97" s="5" t="s">
        <v>267</v>
      </c>
      <c r="B97" s="5" t="s">
        <v>209</v>
      </c>
      <c r="C97" s="5" t="s">
        <v>268</v>
      </c>
      <c r="D97" s="5" t="s">
        <v>211</v>
      </c>
      <c r="E97" s="4">
        <v>12.44</v>
      </c>
      <c r="F97" s="4">
        <v>0</v>
      </c>
      <c r="G97" s="4">
        <f t="shared" si="2"/>
        <v>12.44</v>
      </c>
      <c r="H97" s="4"/>
      <c r="I97" s="4">
        <f t="shared" si="3"/>
        <v>0</v>
      </c>
    </row>
    <row r="98" spans="1:9" hidden="1" x14ac:dyDescent="0.25">
      <c r="A98" s="6" t="s">
        <v>269</v>
      </c>
      <c r="B98" s="6" t="s">
        <v>55</v>
      </c>
      <c r="C98" s="6" t="s">
        <v>270</v>
      </c>
      <c r="D98" s="6" t="s">
        <v>24</v>
      </c>
      <c r="E98" s="7">
        <v>6</v>
      </c>
      <c r="F98" s="7">
        <v>0</v>
      </c>
      <c r="G98" s="4">
        <f t="shared" si="2"/>
        <v>6</v>
      </c>
      <c r="H98" s="4"/>
      <c r="I98" s="4">
        <f t="shared" si="3"/>
        <v>0</v>
      </c>
    </row>
    <row r="99" spans="1:9" hidden="1" x14ac:dyDescent="0.25">
      <c r="A99" s="5" t="s">
        <v>271</v>
      </c>
      <c r="B99" s="5" t="s">
        <v>55</v>
      </c>
      <c r="C99" s="5" t="s">
        <v>272</v>
      </c>
      <c r="D99" s="5" t="s">
        <v>24</v>
      </c>
      <c r="E99" s="4">
        <v>11.88</v>
      </c>
      <c r="F99" s="4">
        <v>0</v>
      </c>
      <c r="G99" s="4">
        <f t="shared" si="2"/>
        <v>11.88</v>
      </c>
      <c r="H99" s="4"/>
      <c r="I99" s="4">
        <f t="shared" si="3"/>
        <v>0</v>
      </c>
    </row>
    <row r="100" spans="1:9" hidden="1" x14ac:dyDescent="0.25">
      <c r="A100" s="6" t="s">
        <v>273</v>
      </c>
      <c r="B100" s="6" t="s">
        <v>55</v>
      </c>
      <c r="C100" s="6" t="s">
        <v>274</v>
      </c>
      <c r="D100" s="6" t="s">
        <v>24</v>
      </c>
      <c r="E100" s="7">
        <v>10</v>
      </c>
      <c r="F100" s="7">
        <v>0</v>
      </c>
      <c r="G100" s="4">
        <f t="shared" si="2"/>
        <v>10</v>
      </c>
      <c r="H100" s="4"/>
      <c r="I100" s="4">
        <f t="shared" si="3"/>
        <v>0</v>
      </c>
    </row>
    <row r="101" spans="1:9" hidden="1" x14ac:dyDescent="0.25">
      <c r="A101" s="5" t="s">
        <v>275</v>
      </c>
      <c r="B101" s="5" t="s">
        <v>55</v>
      </c>
      <c r="C101" s="5" t="s">
        <v>276</v>
      </c>
      <c r="D101" s="5" t="s">
        <v>24</v>
      </c>
      <c r="E101" s="4">
        <v>4.2699999999999996</v>
      </c>
      <c r="F101" s="4">
        <v>0</v>
      </c>
      <c r="G101" s="4">
        <f t="shared" si="2"/>
        <v>4.2699999999999996</v>
      </c>
      <c r="H101" s="4"/>
      <c r="I101" s="4">
        <f t="shared" si="3"/>
        <v>0</v>
      </c>
    </row>
    <row r="102" spans="1:9" hidden="1" x14ac:dyDescent="0.25">
      <c r="A102" s="5" t="s">
        <v>277</v>
      </c>
      <c r="B102" s="5" t="s">
        <v>55</v>
      </c>
      <c r="C102" s="5" t="s">
        <v>278</v>
      </c>
      <c r="D102" s="5" t="s">
        <v>24</v>
      </c>
      <c r="E102" s="4">
        <v>5.25</v>
      </c>
      <c r="F102" s="4">
        <v>0</v>
      </c>
      <c r="G102" s="4">
        <f t="shared" si="2"/>
        <v>5.25</v>
      </c>
      <c r="H102" s="4"/>
      <c r="I102" s="4">
        <f t="shared" si="3"/>
        <v>0</v>
      </c>
    </row>
    <row r="103" spans="1:9" hidden="1" x14ac:dyDescent="0.25">
      <c r="A103" s="6" t="s">
        <v>279</v>
      </c>
      <c r="B103" s="6" t="s">
        <v>55</v>
      </c>
      <c r="C103" s="6" t="s">
        <v>280</v>
      </c>
      <c r="D103" s="6" t="s">
        <v>20</v>
      </c>
      <c r="E103" s="7">
        <v>13.2</v>
      </c>
      <c r="F103" s="7">
        <v>0</v>
      </c>
      <c r="G103" s="4">
        <f t="shared" si="2"/>
        <v>13.2</v>
      </c>
      <c r="H103" s="4"/>
      <c r="I103" s="4">
        <f t="shared" si="3"/>
        <v>0</v>
      </c>
    </row>
    <row r="104" spans="1:9" hidden="1" x14ac:dyDescent="0.25">
      <c r="A104" s="6" t="s">
        <v>281</v>
      </c>
      <c r="B104" s="6" t="s">
        <v>282</v>
      </c>
      <c r="C104" s="6" t="s">
        <v>283</v>
      </c>
      <c r="D104" s="6" t="s">
        <v>20</v>
      </c>
      <c r="E104" s="7">
        <v>16</v>
      </c>
      <c r="F104" s="7">
        <v>0</v>
      </c>
      <c r="G104" s="4">
        <f t="shared" si="2"/>
        <v>16</v>
      </c>
      <c r="H104" s="4"/>
      <c r="I104" s="4">
        <f t="shared" si="3"/>
        <v>0</v>
      </c>
    </row>
    <row r="105" spans="1:9" hidden="1" x14ac:dyDescent="0.25">
      <c r="A105" s="5" t="s">
        <v>284</v>
      </c>
      <c r="B105" s="5" t="s">
        <v>282</v>
      </c>
      <c r="C105" s="5" t="s">
        <v>285</v>
      </c>
      <c r="D105" s="5" t="s">
        <v>20</v>
      </c>
      <c r="E105" s="4">
        <v>16.27</v>
      </c>
      <c r="F105" s="4">
        <v>0</v>
      </c>
      <c r="G105" s="4">
        <f t="shared" si="2"/>
        <v>16.27</v>
      </c>
      <c r="H105" s="4"/>
      <c r="I105" s="4">
        <f t="shared" si="3"/>
        <v>0</v>
      </c>
    </row>
    <row r="106" spans="1:9" hidden="1" x14ac:dyDescent="0.25">
      <c r="A106" s="6" t="s">
        <v>286</v>
      </c>
      <c r="B106" s="6" t="s">
        <v>55</v>
      </c>
      <c r="C106" s="6" t="s">
        <v>287</v>
      </c>
      <c r="D106" s="6" t="s">
        <v>24</v>
      </c>
      <c r="E106" s="7">
        <v>12</v>
      </c>
      <c r="F106" s="7">
        <v>0</v>
      </c>
      <c r="G106" s="4">
        <f t="shared" si="2"/>
        <v>12</v>
      </c>
      <c r="H106" s="4"/>
      <c r="I106" s="4">
        <f t="shared" si="3"/>
        <v>0</v>
      </c>
    </row>
    <row r="107" spans="1:9" hidden="1" x14ac:dyDescent="0.25">
      <c r="A107" s="5" t="s">
        <v>288</v>
      </c>
      <c r="B107" s="5" t="s">
        <v>55</v>
      </c>
      <c r="C107" s="5" t="s">
        <v>289</v>
      </c>
      <c r="D107" s="5" t="s">
        <v>24</v>
      </c>
      <c r="E107" s="4">
        <v>12</v>
      </c>
      <c r="F107" s="4">
        <v>0</v>
      </c>
      <c r="G107" s="4">
        <f t="shared" si="2"/>
        <v>12</v>
      </c>
      <c r="H107" s="4"/>
      <c r="I107" s="4">
        <f t="shared" si="3"/>
        <v>0</v>
      </c>
    </row>
    <row r="108" spans="1:9" hidden="1" x14ac:dyDescent="0.25">
      <c r="A108" s="5" t="s">
        <v>290</v>
      </c>
      <c r="B108" s="5" t="s">
        <v>55</v>
      </c>
      <c r="C108" s="5" t="s">
        <v>291</v>
      </c>
      <c r="D108" s="5" t="s">
        <v>24</v>
      </c>
      <c r="E108" s="4">
        <v>6.06</v>
      </c>
      <c r="F108" s="4">
        <v>0</v>
      </c>
      <c r="G108" s="4">
        <f t="shared" si="2"/>
        <v>6.06</v>
      </c>
      <c r="H108" s="4"/>
      <c r="I108" s="4">
        <f t="shared" si="3"/>
        <v>0</v>
      </c>
    </row>
    <row r="109" spans="1:9" hidden="1" x14ac:dyDescent="0.25">
      <c r="A109" s="5" t="s">
        <v>292</v>
      </c>
      <c r="B109" s="5" t="s">
        <v>282</v>
      </c>
      <c r="C109" s="5" t="s">
        <v>293</v>
      </c>
      <c r="D109" s="5" t="s">
        <v>20</v>
      </c>
      <c r="E109" s="4">
        <v>16.27</v>
      </c>
      <c r="F109" s="4">
        <v>0</v>
      </c>
      <c r="G109" s="4">
        <f t="shared" si="2"/>
        <v>16.27</v>
      </c>
      <c r="H109" s="4"/>
      <c r="I109" s="4">
        <f t="shared" si="3"/>
        <v>0</v>
      </c>
    </row>
    <row r="110" spans="1:9" hidden="1" x14ac:dyDescent="0.25">
      <c r="A110" s="6" t="s">
        <v>294</v>
      </c>
      <c r="B110" s="6" t="s">
        <v>55</v>
      </c>
      <c r="C110" s="6" t="s">
        <v>295</v>
      </c>
      <c r="D110" s="6" t="s">
        <v>24</v>
      </c>
      <c r="E110" s="7">
        <v>5.76</v>
      </c>
      <c r="F110" s="7">
        <v>0</v>
      </c>
      <c r="G110" s="4">
        <f t="shared" si="2"/>
        <v>5.76</v>
      </c>
      <c r="H110" s="4"/>
      <c r="I110" s="4">
        <f t="shared" si="3"/>
        <v>0</v>
      </c>
    </row>
    <row r="111" spans="1:9" hidden="1" x14ac:dyDescent="0.25">
      <c r="A111" s="5" t="s">
        <v>296</v>
      </c>
      <c r="B111" s="5" t="s">
        <v>282</v>
      </c>
      <c r="C111" s="5" t="s">
        <v>297</v>
      </c>
      <c r="D111" s="5" t="s">
        <v>20</v>
      </c>
      <c r="E111" s="4">
        <v>5.17</v>
      </c>
      <c r="F111" s="4">
        <v>0</v>
      </c>
      <c r="G111" s="4">
        <f t="shared" si="2"/>
        <v>5.17</v>
      </c>
      <c r="H111" s="4"/>
      <c r="I111" s="4">
        <f t="shared" si="3"/>
        <v>0</v>
      </c>
    </row>
    <row r="112" spans="1:9" hidden="1" x14ac:dyDescent="0.25">
      <c r="A112" s="6" t="s">
        <v>298</v>
      </c>
      <c r="B112" s="6" t="s">
        <v>32</v>
      </c>
      <c r="C112" s="6" t="s">
        <v>299</v>
      </c>
      <c r="D112" s="6" t="s">
        <v>37</v>
      </c>
      <c r="E112" s="7">
        <v>11.77</v>
      </c>
      <c r="F112" s="7">
        <v>0</v>
      </c>
      <c r="G112" s="4">
        <f t="shared" si="2"/>
        <v>11.77</v>
      </c>
      <c r="H112" s="4"/>
      <c r="I112" s="4">
        <f t="shared" si="3"/>
        <v>0</v>
      </c>
    </row>
    <row r="113" spans="1:9" hidden="1" x14ac:dyDescent="0.25">
      <c r="A113" s="5" t="s">
        <v>300</v>
      </c>
      <c r="B113" s="5" t="s">
        <v>282</v>
      </c>
      <c r="C113" s="5" t="s">
        <v>301</v>
      </c>
      <c r="D113" s="5" t="s">
        <v>20</v>
      </c>
      <c r="E113" s="4">
        <v>25.8</v>
      </c>
      <c r="F113" s="4">
        <v>0</v>
      </c>
      <c r="G113" s="4">
        <f t="shared" si="2"/>
        <v>25.8</v>
      </c>
      <c r="H113" s="4"/>
      <c r="I113" s="4">
        <f t="shared" si="3"/>
        <v>0</v>
      </c>
    </row>
    <row r="114" spans="1:9" hidden="1" x14ac:dyDescent="0.25">
      <c r="A114" s="5" t="s">
        <v>302</v>
      </c>
      <c r="B114" s="5" t="s">
        <v>55</v>
      </c>
      <c r="C114" s="5" t="s">
        <v>303</v>
      </c>
      <c r="D114" s="5" t="s">
        <v>24</v>
      </c>
      <c r="E114" s="4">
        <v>7.19</v>
      </c>
      <c r="F114" s="4">
        <v>0</v>
      </c>
      <c r="G114" s="4">
        <f t="shared" si="2"/>
        <v>7.19</v>
      </c>
      <c r="H114" s="4"/>
      <c r="I114" s="4">
        <f t="shared" si="3"/>
        <v>0</v>
      </c>
    </row>
    <row r="115" spans="1:9" hidden="1" x14ac:dyDescent="0.25">
      <c r="A115" s="6" t="s">
        <v>304</v>
      </c>
      <c r="B115" s="6" t="s">
        <v>55</v>
      </c>
      <c r="C115" s="6" t="s">
        <v>305</v>
      </c>
      <c r="D115" s="6" t="s">
        <v>37</v>
      </c>
      <c r="E115" s="7">
        <v>3.5</v>
      </c>
      <c r="F115" s="7">
        <v>0</v>
      </c>
      <c r="G115" s="4">
        <f t="shared" si="2"/>
        <v>3.5</v>
      </c>
      <c r="H115" s="4"/>
      <c r="I115" s="4">
        <f t="shared" si="3"/>
        <v>0</v>
      </c>
    </row>
    <row r="116" spans="1:9" hidden="1" x14ac:dyDescent="0.25">
      <c r="A116" s="5" t="s">
        <v>306</v>
      </c>
      <c r="B116" s="5" t="s">
        <v>307</v>
      </c>
      <c r="C116" s="5" t="s">
        <v>308</v>
      </c>
      <c r="D116" s="5" t="s">
        <v>24</v>
      </c>
      <c r="E116" s="4">
        <v>20.52</v>
      </c>
      <c r="F116" s="4">
        <v>0</v>
      </c>
      <c r="G116" s="4">
        <f t="shared" si="2"/>
        <v>20.52</v>
      </c>
      <c r="H116" s="4"/>
      <c r="I116" s="4">
        <f t="shared" si="3"/>
        <v>0</v>
      </c>
    </row>
    <row r="117" spans="1:9" x14ac:dyDescent="0.25">
      <c r="A117" s="6" t="s">
        <v>309</v>
      </c>
      <c r="B117" s="6" t="s">
        <v>310</v>
      </c>
      <c r="C117" s="11" t="s">
        <v>311</v>
      </c>
      <c r="D117" s="11" t="s">
        <v>24</v>
      </c>
      <c r="E117" s="7">
        <v>19.93</v>
      </c>
      <c r="F117" s="7">
        <v>0</v>
      </c>
      <c r="G117" s="9">
        <v>29.74</v>
      </c>
      <c r="H117" s="10">
        <v>1</v>
      </c>
      <c r="I117" s="9">
        <f t="shared" si="3"/>
        <v>29.74</v>
      </c>
    </row>
    <row r="118" spans="1:9" hidden="1" x14ac:dyDescent="0.25">
      <c r="A118" s="5" t="s">
        <v>312</v>
      </c>
      <c r="B118" s="5" t="s">
        <v>313</v>
      </c>
      <c r="C118" s="5" t="s">
        <v>314</v>
      </c>
      <c r="D118" s="5" t="s">
        <v>20</v>
      </c>
      <c r="E118" s="4">
        <v>6.25</v>
      </c>
      <c r="F118" s="4">
        <v>0</v>
      </c>
      <c r="G118" s="4">
        <f t="shared" si="2"/>
        <v>6.25</v>
      </c>
      <c r="H118" s="4"/>
      <c r="I118" s="4">
        <f t="shared" si="3"/>
        <v>0</v>
      </c>
    </row>
    <row r="119" spans="1:9" hidden="1" x14ac:dyDescent="0.25">
      <c r="A119" s="6" t="s">
        <v>315</v>
      </c>
      <c r="B119" s="6" t="s">
        <v>307</v>
      </c>
      <c r="C119" s="6" t="s">
        <v>316</v>
      </c>
      <c r="D119" s="6" t="s">
        <v>37</v>
      </c>
      <c r="E119" s="7">
        <v>7.18</v>
      </c>
      <c r="F119" s="7">
        <v>0</v>
      </c>
      <c r="G119" s="4">
        <f t="shared" si="2"/>
        <v>7.18</v>
      </c>
      <c r="H119" s="4"/>
      <c r="I119" s="4">
        <f t="shared" si="3"/>
        <v>0</v>
      </c>
    </row>
    <row r="120" spans="1:9" hidden="1" x14ac:dyDescent="0.25">
      <c r="A120" s="5" t="s">
        <v>317</v>
      </c>
      <c r="B120" s="5" t="s">
        <v>55</v>
      </c>
      <c r="C120" s="5" t="s">
        <v>318</v>
      </c>
      <c r="D120" s="5" t="s">
        <v>24</v>
      </c>
      <c r="E120" s="4">
        <v>2.91</v>
      </c>
      <c r="F120" s="4">
        <v>0</v>
      </c>
      <c r="G120" s="4">
        <f t="shared" si="2"/>
        <v>2.91</v>
      </c>
      <c r="H120" s="4"/>
      <c r="I120" s="4">
        <f t="shared" si="3"/>
        <v>0</v>
      </c>
    </row>
    <row r="121" spans="1:9" hidden="1" x14ac:dyDescent="0.25">
      <c r="A121" s="6" t="s">
        <v>319</v>
      </c>
      <c r="B121" s="6" t="s">
        <v>307</v>
      </c>
      <c r="C121" s="6" t="s">
        <v>320</v>
      </c>
      <c r="D121" s="6" t="s">
        <v>24</v>
      </c>
      <c r="E121" s="7">
        <v>41.53</v>
      </c>
      <c r="F121" s="7">
        <v>0</v>
      </c>
      <c r="G121" s="4">
        <f t="shared" si="2"/>
        <v>41.53</v>
      </c>
      <c r="H121" s="4"/>
      <c r="I121" s="4">
        <f t="shared" si="3"/>
        <v>0</v>
      </c>
    </row>
    <row r="122" spans="1:9" hidden="1" x14ac:dyDescent="0.25">
      <c r="A122" s="5" t="s">
        <v>321</v>
      </c>
      <c r="B122" s="5" t="s">
        <v>307</v>
      </c>
      <c r="C122" s="5" t="s">
        <v>322</v>
      </c>
      <c r="D122" s="5" t="s">
        <v>114</v>
      </c>
      <c r="E122" s="4">
        <v>21.92</v>
      </c>
      <c r="F122" s="4">
        <v>0</v>
      </c>
      <c r="G122" s="4">
        <f t="shared" si="2"/>
        <v>21.92</v>
      </c>
      <c r="H122" s="4"/>
      <c r="I122" s="4">
        <f t="shared" si="3"/>
        <v>0</v>
      </c>
    </row>
    <row r="123" spans="1:9" hidden="1" x14ac:dyDescent="0.25">
      <c r="A123" s="6" t="s">
        <v>323</v>
      </c>
      <c r="B123" s="6" t="s">
        <v>324</v>
      </c>
      <c r="C123" s="6" t="s">
        <v>325</v>
      </c>
      <c r="D123" s="6" t="s">
        <v>20</v>
      </c>
      <c r="E123" s="7">
        <v>31.237500000000001</v>
      </c>
      <c r="F123" s="7">
        <v>0</v>
      </c>
      <c r="G123" s="4">
        <f t="shared" si="2"/>
        <v>31.237500000000001</v>
      </c>
      <c r="H123" s="4"/>
      <c r="I123" s="4">
        <f t="shared" si="3"/>
        <v>0</v>
      </c>
    </row>
    <row r="124" spans="1:9" hidden="1" x14ac:dyDescent="0.25">
      <c r="A124" s="5" t="s">
        <v>326</v>
      </c>
      <c r="B124" s="5" t="s">
        <v>327</v>
      </c>
      <c r="C124" s="5" t="s">
        <v>328</v>
      </c>
      <c r="D124" s="5" t="s">
        <v>211</v>
      </c>
      <c r="E124" s="4">
        <v>8.0055999999999994</v>
      </c>
      <c r="F124" s="4">
        <v>0</v>
      </c>
      <c r="G124" s="4">
        <f t="shared" si="2"/>
        <v>8.0055999999999994</v>
      </c>
      <c r="H124" s="4"/>
      <c r="I124" s="4">
        <f t="shared" si="3"/>
        <v>0</v>
      </c>
    </row>
    <row r="125" spans="1:9" hidden="1" x14ac:dyDescent="0.25">
      <c r="A125" s="6" t="s">
        <v>329</v>
      </c>
      <c r="B125" s="6" t="s">
        <v>330</v>
      </c>
      <c r="C125" s="6" t="s">
        <v>331</v>
      </c>
      <c r="D125" s="6" t="s">
        <v>20</v>
      </c>
      <c r="E125" s="7">
        <v>15.5488</v>
      </c>
      <c r="F125" s="7">
        <v>0</v>
      </c>
      <c r="G125" s="4">
        <f t="shared" si="2"/>
        <v>15.5488</v>
      </c>
      <c r="H125" s="4"/>
      <c r="I125" s="4">
        <f t="shared" si="3"/>
        <v>0</v>
      </c>
    </row>
    <row r="126" spans="1:9" hidden="1" x14ac:dyDescent="0.25">
      <c r="A126" s="5" t="s">
        <v>332</v>
      </c>
      <c r="B126" s="5" t="s">
        <v>209</v>
      </c>
      <c r="C126" s="5" t="s">
        <v>333</v>
      </c>
      <c r="D126" s="5" t="s">
        <v>20</v>
      </c>
      <c r="E126" s="4">
        <v>9.4700000000000006</v>
      </c>
      <c r="F126" s="4">
        <v>0</v>
      </c>
      <c r="G126" s="4">
        <f t="shared" si="2"/>
        <v>9.4700000000000006</v>
      </c>
      <c r="H126" s="4"/>
      <c r="I126" s="4">
        <f t="shared" si="3"/>
        <v>0</v>
      </c>
    </row>
    <row r="127" spans="1:9" hidden="1" x14ac:dyDescent="0.25">
      <c r="A127" s="6" t="s">
        <v>334</v>
      </c>
      <c r="B127" s="6" t="s">
        <v>335</v>
      </c>
      <c r="C127" s="6" t="s">
        <v>336</v>
      </c>
      <c r="D127" s="6" t="s">
        <v>211</v>
      </c>
      <c r="E127" s="7">
        <v>11.5878</v>
      </c>
      <c r="F127" s="7">
        <v>0</v>
      </c>
      <c r="G127" s="4">
        <f t="shared" si="2"/>
        <v>11.5878</v>
      </c>
      <c r="H127" s="4"/>
      <c r="I127" s="4">
        <f t="shared" si="3"/>
        <v>0</v>
      </c>
    </row>
    <row r="128" spans="1:9" hidden="1" x14ac:dyDescent="0.25">
      <c r="A128" s="5" t="s">
        <v>337</v>
      </c>
      <c r="B128" s="5" t="s">
        <v>209</v>
      </c>
      <c r="C128" s="5" t="s">
        <v>338</v>
      </c>
      <c r="D128" s="5" t="s">
        <v>20</v>
      </c>
      <c r="E128" s="4">
        <v>11.5</v>
      </c>
      <c r="F128" s="4">
        <v>0</v>
      </c>
      <c r="G128" s="4">
        <f t="shared" si="2"/>
        <v>11.5</v>
      </c>
      <c r="H128" s="4"/>
      <c r="I128" s="4">
        <f t="shared" si="3"/>
        <v>0</v>
      </c>
    </row>
    <row r="129" spans="1:9" hidden="1" x14ac:dyDescent="0.25">
      <c r="A129" s="6" t="s">
        <v>339</v>
      </c>
      <c r="B129" s="6" t="s">
        <v>340</v>
      </c>
      <c r="C129" s="6" t="s">
        <v>341</v>
      </c>
      <c r="D129" s="6" t="s">
        <v>211</v>
      </c>
      <c r="E129" s="7">
        <v>6.07</v>
      </c>
      <c r="F129" s="7">
        <v>0</v>
      </c>
      <c r="G129" s="4">
        <f t="shared" si="2"/>
        <v>6.07</v>
      </c>
      <c r="H129" s="4"/>
      <c r="I129" s="4">
        <f t="shared" si="3"/>
        <v>0</v>
      </c>
    </row>
    <row r="130" spans="1:9" hidden="1" x14ac:dyDescent="0.25">
      <c r="A130" s="5" t="s">
        <v>342</v>
      </c>
      <c r="B130" s="5" t="s">
        <v>213</v>
      </c>
      <c r="C130" s="5" t="s">
        <v>343</v>
      </c>
      <c r="D130" s="5" t="s">
        <v>20</v>
      </c>
      <c r="E130" s="4">
        <v>4.2699999999999996</v>
      </c>
      <c r="F130" s="4">
        <v>0</v>
      </c>
      <c r="G130" s="4">
        <f t="shared" ref="G130:G193" si="4">SUM(E130:F130)</f>
        <v>4.2699999999999996</v>
      </c>
      <c r="H130" s="4"/>
      <c r="I130" s="4">
        <f t="shared" si="3"/>
        <v>0</v>
      </c>
    </row>
    <row r="131" spans="1:9" hidden="1" x14ac:dyDescent="0.25">
      <c r="A131" s="6" t="s">
        <v>344</v>
      </c>
      <c r="B131" s="6" t="s">
        <v>345</v>
      </c>
      <c r="C131" s="6" t="s">
        <v>346</v>
      </c>
      <c r="D131" s="6" t="s">
        <v>347</v>
      </c>
      <c r="E131" s="7">
        <v>16.170000000000002</v>
      </c>
      <c r="F131" s="7">
        <v>0</v>
      </c>
      <c r="G131" s="4">
        <f t="shared" si="4"/>
        <v>16.170000000000002</v>
      </c>
      <c r="H131" s="4"/>
      <c r="I131" s="4">
        <f t="shared" ref="I131:I194" si="5">G131*H131</f>
        <v>0</v>
      </c>
    </row>
    <row r="132" spans="1:9" hidden="1" x14ac:dyDescent="0.25">
      <c r="A132" s="5" t="s">
        <v>348</v>
      </c>
      <c r="B132" s="5" t="s">
        <v>349</v>
      </c>
      <c r="C132" s="5" t="s">
        <v>350</v>
      </c>
      <c r="D132" s="5" t="s">
        <v>20</v>
      </c>
      <c r="E132" s="4">
        <v>20.399999999999999</v>
      </c>
      <c r="F132" s="4">
        <v>0</v>
      </c>
      <c r="G132" s="4">
        <f t="shared" si="4"/>
        <v>20.399999999999999</v>
      </c>
      <c r="H132" s="4"/>
      <c r="I132" s="4">
        <f t="shared" si="5"/>
        <v>0</v>
      </c>
    </row>
    <row r="133" spans="1:9" hidden="1" x14ac:dyDescent="0.25">
      <c r="A133" s="6" t="s">
        <v>351</v>
      </c>
      <c r="B133" s="6" t="s">
        <v>213</v>
      </c>
      <c r="C133" s="6" t="s">
        <v>352</v>
      </c>
      <c r="D133" s="6" t="s">
        <v>211</v>
      </c>
      <c r="E133" s="7">
        <v>15.73</v>
      </c>
      <c r="F133" s="7">
        <v>0</v>
      </c>
      <c r="G133" s="4">
        <f t="shared" si="4"/>
        <v>15.73</v>
      </c>
      <c r="H133" s="4"/>
      <c r="I133" s="4">
        <f t="shared" si="5"/>
        <v>0</v>
      </c>
    </row>
    <row r="134" spans="1:9" hidden="1" x14ac:dyDescent="0.25">
      <c r="A134" s="5" t="s">
        <v>353</v>
      </c>
      <c r="B134" s="5" t="s">
        <v>213</v>
      </c>
      <c r="C134" s="5" t="s">
        <v>354</v>
      </c>
      <c r="D134" s="5" t="s">
        <v>20</v>
      </c>
      <c r="E134" s="4">
        <v>11.84</v>
      </c>
      <c r="F134" s="4">
        <v>0</v>
      </c>
      <c r="G134" s="4">
        <f t="shared" si="4"/>
        <v>11.84</v>
      </c>
      <c r="H134" s="4"/>
      <c r="I134" s="4">
        <f t="shared" si="5"/>
        <v>0</v>
      </c>
    </row>
    <row r="135" spans="1:9" hidden="1" x14ac:dyDescent="0.25">
      <c r="A135" s="6" t="s">
        <v>355</v>
      </c>
      <c r="B135" s="6" t="s">
        <v>330</v>
      </c>
      <c r="C135" s="6" t="s">
        <v>356</v>
      </c>
      <c r="D135" s="6" t="s">
        <v>20</v>
      </c>
      <c r="E135" s="7">
        <v>16.200099999999999</v>
      </c>
      <c r="F135" s="7">
        <v>0</v>
      </c>
      <c r="G135" s="4">
        <f t="shared" si="4"/>
        <v>16.200099999999999</v>
      </c>
      <c r="H135" s="4"/>
      <c r="I135" s="4">
        <f t="shared" si="5"/>
        <v>0</v>
      </c>
    </row>
    <row r="136" spans="1:9" hidden="1" x14ac:dyDescent="0.25">
      <c r="A136" s="5" t="s">
        <v>357</v>
      </c>
      <c r="B136" s="5" t="s">
        <v>175</v>
      </c>
      <c r="C136" s="5" t="s">
        <v>358</v>
      </c>
      <c r="D136" s="5" t="s">
        <v>20</v>
      </c>
      <c r="E136" s="4">
        <v>12.68</v>
      </c>
      <c r="F136" s="4">
        <v>0</v>
      </c>
      <c r="G136" s="4">
        <f t="shared" si="4"/>
        <v>12.68</v>
      </c>
      <c r="H136" s="4"/>
      <c r="I136" s="4">
        <f t="shared" si="5"/>
        <v>0</v>
      </c>
    </row>
    <row r="137" spans="1:9" hidden="1" x14ac:dyDescent="0.25">
      <c r="A137" s="6" t="s">
        <v>359</v>
      </c>
      <c r="B137" s="6" t="s">
        <v>175</v>
      </c>
      <c r="C137" s="6" t="s">
        <v>360</v>
      </c>
      <c r="D137" s="6" t="s">
        <v>361</v>
      </c>
      <c r="E137" s="7">
        <v>6.33</v>
      </c>
      <c r="F137" s="7">
        <v>0</v>
      </c>
      <c r="G137" s="4">
        <f t="shared" si="4"/>
        <v>6.33</v>
      </c>
      <c r="H137" s="4"/>
      <c r="I137" s="4">
        <f t="shared" si="5"/>
        <v>0</v>
      </c>
    </row>
    <row r="138" spans="1:9" hidden="1" x14ac:dyDescent="0.25">
      <c r="A138" s="5" t="s">
        <v>362</v>
      </c>
      <c r="B138" s="5" t="s">
        <v>363</v>
      </c>
      <c r="C138" s="5" t="s">
        <v>364</v>
      </c>
      <c r="D138" s="5" t="s">
        <v>365</v>
      </c>
      <c r="E138" s="4">
        <v>14.76</v>
      </c>
      <c r="F138" s="4">
        <v>0</v>
      </c>
      <c r="G138" s="4">
        <f t="shared" si="4"/>
        <v>14.76</v>
      </c>
      <c r="H138" s="4"/>
      <c r="I138" s="4">
        <f t="shared" si="5"/>
        <v>0</v>
      </c>
    </row>
    <row r="139" spans="1:9" hidden="1" x14ac:dyDescent="0.25">
      <c r="A139" s="6" t="s">
        <v>366</v>
      </c>
      <c r="B139" s="6" t="s">
        <v>367</v>
      </c>
      <c r="C139" s="6" t="s">
        <v>368</v>
      </c>
      <c r="D139" s="6" t="s">
        <v>159</v>
      </c>
      <c r="E139" s="7">
        <v>44.625</v>
      </c>
      <c r="F139" s="7">
        <v>0</v>
      </c>
      <c r="G139" s="4">
        <f t="shared" si="4"/>
        <v>44.625</v>
      </c>
      <c r="H139" s="4"/>
      <c r="I139" s="4">
        <f t="shared" si="5"/>
        <v>0</v>
      </c>
    </row>
    <row r="140" spans="1:9" hidden="1" x14ac:dyDescent="0.25">
      <c r="A140" s="5" t="s">
        <v>369</v>
      </c>
      <c r="B140" s="5" t="s">
        <v>367</v>
      </c>
      <c r="C140" s="5" t="s">
        <v>370</v>
      </c>
      <c r="D140" s="5" t="s">
        <v>159</v>
      </c>
      <c r="E140" s="4">
        <v>44.625</v>
      </c>
      <c r="F140" s="4">
        <v>0</v>
      </c>
      <c r="G140" s="4">
        <f t="shared" si="4"/>
        <v>44.625</v>
      </c>
      <c r="H140" s="4"/>
      <c r="I140" s="4">
        <f t="shared" si="5"/>
        <v>0</v>
      </c>
    </row>
    <row r="141" spans="1:9" hidden="1" x14ac:dyDescent="0.25">
      <c r="A141" s="6" t="s">
        <v>371</v>
      </c>
      <c r="B141" s="6" t="s">
        <v>372</v>
      </c>
      <c r="C141" s="6" t="s">
        <v>373</v>
      </c>
      <c r="D141" s="6" t="s">
        <v>20</v>
      </c>
      <c r="E141" s="7">
        <v>17.572900000000001</v>
      </c>
      <c r="F141" s="7">
        <v>1.75729</v>
      </c>
      <c r="G141" s="4">
        <f t="shared" si="4"/>
        <v>19.330190000000002</v>
      </c>
      <c r="H141" s="4"/>
      <c r="I141" s="4">
        <f t="shared" si="5"/>
        <v>0</v>
      </c>
    </row>
    <row r="142" spans="1:9" hidden="1" x14ac:dyDescent="0.25">
      <c r="A142" s="5" t="s">
        <v>374</v>
      </c>
      <c r="B142" s="5" t="s">
        <v>32</v>
      </c>
      <c r="C142" s="5" t="s">
        <v>375</v>
      </c>
      <c r="D142" s="5" t="s">
        <v>20</v>
      </c>
      <c r="E142" s="4">
        <v>23.82</v>
      </c>
      <c r="F142" s="4">
        <v>2.3820000000000001</v>
      </c>
      <c r="G142" s="4">
        <f t="shared" si="4"/>
        <v>26.202000000000002</v>
      </c>
      <c r="H142" s="4"/>
      <c r="I142" s="4">
        <f t="shared" si="5"/>
        <v>0</v>
      </c>
    </row>
    <row r="143" spans="1:9" hidden="1" x14ac:dyDescent="0.25">
      <c r="A143" s="6" t="s">
        <v>376</v>
      </c>
      <c r="B143" s="6" t="s">
        <v>32</v>
      </c>
      <c r="C143" s="6" t="s">
        <v>377</v>
      </c>
      <c r="D143" s="6" t="s">
        <v>20</v>
      </c>
      <c r="E143" s="7">
        <v>23.82</v>
      </c>
      <c r="F143" s="7">
        <v>2.3820000000000001</v>
      </c>
      <c r="G143" s="4">
        <f t="shared" si="4"/>
        <v>26.202000000000002</v>
      </c>
      <c r="H143" s="4"/>
      <c r="I143" s="4">
        <f t="shared" si="5"/>
        <v>0</v>
      </c>
    </row>
    <row r="144" spans="1:9" hidden="1" x14ac:dyDescent="0.25">
      <c r="A144" s="5" t="s">
        <v>378</v>
      </c>
      <c r="B144" s="5" t="s">
        <v>32</v>
      </c>
      <c r="C144" s="5" t="s">
        <v>379</v>
      </c>
      <c r="D144" s="5" t="s">
        <v>20</v>
      </c>
      <c r="E144" s="4">
        <v>23.82</v>
      </c>
      <c r="F144" s="4">
        <v>2.3820000000000001</v>
      </c>
      <c r="G144" s="4">
        <f t="shared" si="4"/>
        <v>26.202000000000002</v>
      </c>
      <c r="H144" s="4"/>
      <c r="I144" s="4">
        <f t="shared" si="5"/>
        <v>0</v>
      </c>
    </row>
    <row r="145" spans="1:9" hidden="1" x14ac:dyDescent="0.25">
      <c r="A145" s="6" t="s">
        <v>380</v>
      </c>
      <c r="B145" s="6" t="s">
        <v>32</v>
      </c>
      <c r="C145" s="6" t="s">
        <v>381</v>
      </c>
      <c r="D145" s="6" t="s">
        <v>20</v>
      </c>
      <c r="E145" s="7">
        <v>23.82</v>
      </c>
      <c r="F145" s="7">
        <v>2.3820000000000001</v>
      </c>
      <c r="G145" s="4">
        <f t="shared" si="4"/>
        <v>26.202000000000002</v>
      </c>
      <c r="H145" s="4"/>
      <c r="I145" s="4">
        <f t="shared" si="5"/>
        <v>0</v>
      </c>
    </row>
    <row r="146" spans="1:9" hidden="1" x14ac:dyDescent="0.25">
      <c r="A146" s="5" t="s">
        <v>382</v>
      </c>
      <c r="B146" s="5" t="s">
        <v>32</v>
      </c>
      <c r="C146" s="5" t="s">
        <v>383</v>
      </c>
      <c r="D146" s="5" t="s">
        <v>20</v>
      </c>
      <c r="E146" s="4">
        <v>23.82</v>
      </c>
      <c r="F146" s="4">
        <v>2.3820000000000001</v>
      </c>
      <c r="G146" s="4">
        <f t="shared" si="4"/>
        <v>26.202000000000002</v>
      </c>
      <c r="H146" s="4"/>
      <c r="I146" s="4">
        <f t="shared" si="5"/>
        <v>0</v>
      </c>
    </row>
    <row r="147" spans="1:9" hidden="1" x14ac:dyDescent="0.25">
      <c r="A147" s="6" t="s">
        <v>384</v>
      </c>
      <c r="B147" s="6" t="s">
        <v>32</v>
      </c>
      <c r="C147" s="6" t="s">
        <v>385</v>
      </c>
      <c r="D147" s="6" t="s">
        <v>20</v>
      </c>
      <c r="E147" s="7">
        <v>23.82</v>
      </c>
      <c r="F147" s="7">
        <v>2.3820000000000001</v>
      </c>
      <c r="G147" s="4">
        <f t="shared" si="4"/>
        <v>26.202000000000002</v>
      </c>
      <c r="H147" s="4"/>
      <c r="I147" s="4">
        <f t="shared" si="5"/>
        <v>0</v>
      </c>
    </row>
    <row r="148" spans="1:9" hidden="1" x14ac:dyDescent="0.25">
      <c r="A148" s="5" t="s">
        <v>386</v>
      </c>
      <c r="B148" s="5" t="s">
        <v>32</v>
      </c>
      <c r="C148" s="5" t="s">
        <v>387</v>
      </c>
      <c r="D148" s="5" t="s">
        <v>37</v>
      </c>
      <c r="E148" s="4">
        <v>12.27</v>
      </c>
      <c r="F148" s="4">
        <v>1.2270000000000001</v>
      </c>
      <c r="G148" s="4">
        <f t="shared" si="4"/>
        <v>13.497</v>
      </c>
      <c r="H148" s="4"/>
      <c r="I148" s="4">
        <f t="shared" si="5"/>
        <v>0</v>
      </c>
    </row>
    <row r="149" spans="1:9" hidden="1" x14ac:dyDescent="0.25">
      <c r="A149" s="6" t="s">
        <v>388</v>
      </c>
      <c r="B149" s="6" t="s">
        <v>389</v>
      </c>
      <c r="C149" s="6" t="s">
        <v>390</v>
      </c>
      <c r="D149" s="6" t="s">
        <v>159</v>
      </c>
      <c r="E149" s="7">
        <v>56.28</v>
      </c>
      <c r="F149" s="7">
        <v>5.6280000000000001</v>
      </c>
      <c r="G149" s="4">
        <f t="shared" si="4"/>
        <v>61.908000000000001</v>
      </c>
      <c r="H149" s="4"/>
      <c r="I149" s="4">
        <f t="shared" si="5"/>
        <v>0</v>
      </c>
    </row>
    <row r="150" spans="1:9" hidden="1" x14ac:dyDescent="0.25">
      <c r="A150" s="5" t="s">
        <v>391</v>
      </c>
      <c r="B150" s="5" t="s">
        <v>392</v>
      </c>
      <c r="C150" s="5" t="s">
        <v>393</v>
      </c>
      <c r="D150" s="5" t="s">
        <v>16</v>
      </c>
      <c r="E150" s="4">
        <v>41.671300000000002</v>
      </c>
      <c r="F150" s="4">
        <v>4.1671300000000002</v>
      </c>
      <c r="G150" s="4">
        <f t="shared" si="4"/>
        <v>45.838430000000002</v>
      </c>
      <c r="H150" s="4"/>
      <c r="I150" s="4">
        <f t="shared" si="5"/>
        <v>0</v>
      </c>
    </row>
    <row r="151" spans="1:9" hidden="1" x14ac:dyDescent="0.25">
      <c r="A151" s="5" t="s">
        <v>394</v>
      </c>
      <c r="B151" s="5" t="s">
        <v>395</v>
      </c>
      <c r="C151" s="5" t="s">
        <v>396</v>
      </c>
      <c r="D151" s="5" t="s">
        <v>72</v>
      </c>
      <c r="E151" s="4">
        <v>30.3</v>
      </c>
      <c r="F151" s="4">
        <v>3.03</v>
      </c>
      <c r="G151" s="4">
        <f t="shared" si="4"/>
        <v>33.33</v>
      </c>
      <c r="H151" s="4"/>
      <c r="I151" s="4">
        <f t="shared" si="5"/>
        <v>0</v>
      </c>
    </row>
    <row r="152" spans="1:9" hidden="1" x14ac:dyDescent="0.25">
      <c r="A152" s="6" t="s">
        <v>397</v>
      </c>
      <c r="B152" s="6" t="s">
        <v>398</v>
      </c>
      <c r="C152" s="6" t="s">
        <v>399</v>
      </c>
      <c r="D152" s="6" t="s">
        <v>365</v>
      </c>
      <c r="E152" s="7">
        <v>30.48</v>
      </c>
      <c r="F152" s="7">
        <v>3.048</v>
      </c>
      <c r="G152" s="4">
        <f t="shared" si="4"/>
        <v>33.527999999999999</v>
      </c>
      <c r="H152" s="4"/>
      <c r="I152" s="4">
        <f t="shared" si="5"/>
        <v>0</v>
      </c>
    </row>
    <row r="153" spans="1:9" hidden="1" x14ac:dyDescent="0.25">
      <c r="A153" s="5" t="s">
        <v>400</v>
      </c>
      <c r="B153" s="5" t="s">
        <v>401</v>
      </c>
      <c r="C153" s="5" t="s">
        <v>402</v>
      </c>
      <c r="D153" s="5" t="s">
        <v>20</v>
      </c>
      <c r="E153" s="4">
        <v>54.46</v>
      </c>
      <c r="F153" s="4">
        <v>5.4459999999999997</v>
      </c>
      <c r="G153" s="4">
        <f t="shared" si="4"/>
        <v>59.905999999999999</v>
      </c>
      <c r="H153" s="4"/>
      <c r="I153" s="4">
        <f t="shared" si="5"/>
        <v>0</v>
      </c>
    </row>
    <row r="154" spans="1:9" hidden="1" x14ac:dyDescent="0.25">
      <c r="A154" s="5" t="s">
        <v>403</v>
      </c>
      <c r="B154" s="5" t="s">
        <v>32</v>
      </c>
      <c r="C154" s="5" t="s">
        <v>404</v>
      </c>
      <c r="D154" s="5" t="s">
        <v>20</v>
      </c>
      <c r="E154" s="4">
        <v>7.11</v>
      </c>
      <c r="F154" s="4">
        <v>0.71099999999999997</v>
      </c>
      <c r="G154" s="4">
        <f t="shared" si="4"/>
        <v>7.8210000000000006</v>
      </c>
      <c r="H154" s="4"/>
      <c r="I154" s="4">
        <f t="shared" si="5"/>
        <v>0</v>
      </c>
    </row>
    <row r="155" spans="1:9" x14ac:dyDescent="0.25">
      <c r="A155" s="6" t="s">
        <v>405</v>
      </c>
      <c r="B155" s="6" t="s">
        <v>406</v>
      </c>
      <c r="C155" s="11" t="s">
        <v>407</v>
      </c>
      <c r="D155" s="11" t="s">
        <v>20</v>
      </c>
      <c r="E155" s="7">
        <v>6.45</v>
      </c>
      <c r="F155" s="7">
        <v>0.64500000000000002</v>
      </c>
      <c r="G155" s="9">
        <f t="shared" si="4"/>
        <v>7.0950000000000006</v>
      </c>
      <c r="H155" s="10">
        <v>1</v>
      </c>
      <c r="I155" s="9">
        <f t="shared" si="5"/>
        <v>7.0950000000000006</v>
      </c>
    </row>
    <row r="156" spans="1:9" hidden="1" x14ac:dyDescent="0.25">
      <c r="A156" s="5" t="s">
        <v>408</v>
      </c>
      <c r="B156" s="5" t="s">
        <v>392</v>
      </c>
      <c r="C156" s="5" t="s">
        <v>409</v>
      </c>
      <c r="D156" s="5" t="s">
        <v>20</v>
      </c>
      <c r="E156" s="4">
        <v>5.0599999999999996</v>
      </c>
      <c r="F156" s="4">
        <v>0.50600000000000001</v>
      </c>
      <c r="G156" s="4">
        <f t="shared" si="4"/>
        <v>5.5659999999999998</v>
      </c>
      <c r="H156" s="4"/>
      <c r="I156" s="4">
        <f t="shared" si="5"/>
        <v>0</v>
      </c>
    </row>
    <row r="157" spans="1:9" hidden="1" x14ac:dyDescent="0.25">
      <c r="A157" s="6" t="s">
        <v>410</v>
      </c>
      <c r="B157" s="6" t="s">
        <v>411</v>
      </c>
      <c r="C157" s="6" t="s">
        <v>412</v>
      </c>
      <c r="D157" s="6" t="s">
        <v>37</v>
      </c>
      <c r="E157" s="7">
        <v>1.68</v>
      </c>
      <c r="F157" s="7">
        <v>0.16800000000000001</v>
      </c>
      <c r="G157" s="4">
        <f t="shared" si="4"/>
        <v>1.8479999999999999</v>
      </c>
      <c r="H157" s="4"/>
      <c r="I157" s="4">
        <f t="shared" si="5"/>
        <v>0</v>
      </c>
    </row>
    <row r="158" spans="1:9" hidden="1" x14ac:dyDescent="0.25">
      <c r="A158" s="5" t="s">
        <v>413</v>
      </c>
      <c r="B158" s="5" t="s">
        <v>392</v>
      </c>
      <c r="C158" s="5" t="s">
        <v>414</v>
      </c>
      <c r="D158" s="5" t="s">
        <v>37</v>
      </c>
      <c r="E158" s="4">
        <v>4.41</v>
      </c>
      <c r="F158" s="4">
        <v>0.441</v>
      </c>
      <c r="G158" s="4">
        <f t="shared" si="4"/>
        <v>4.851</v>
      </c>
      <c r="H158" s="4"/>
      <c r="I158" s="4">
        <f t="shared" si="5"/>
        <v>0</v>
      </c>
    </row>
    <row r="159" spans="1:9" hidden="1" x14ac:dyDescent="0.25">
      <c r="A159" s="6" t="s">
        <v>415</v>
      </c>
      <c r="B159" s="6" t="s">
        <v>392</v>
      </c>
      <c r="C159" s="6" t="s">
        <v>416</v>
      </c>
      <c r="D159" s="6" t="s">
        <v>37</v>
      </c>
      <c r="E159" s="7">
        <v>3.81</v>
      </c>
      <c r="F159" s="7">
        <v>0.38100000000000001</v>
      </c>
      <c r="G159" s="4">
        <f t="shared" si="4"/>
        <v>4.1909999999999998</v>
      </c>
      <c r="H159" s="4"/>
      <c r="I159" s="4">
        <f t="shared" si="5"/>
        <v>0</v>
      </c>
    </row>
    <row r="160" spans="1:9" hidden="1" x14ac:dyDescent="0.25">
      <c r="A160" s="6" t="s">
        <v>417</v>
      </c>
      <c r="B160" s="6" t="s">
        <v>418</v>
      </c>
      <c r="C160" s="6" t="s">
        <v>419</v>
      </c>
      <c r="D160" s="6" t="s">
        <v>20</v>
      </c>
      <c r="E160" s="7">
        <v>2.15</v>
      </c>
      <c r="F160" s="7">
        <v>0.215</v>
      </c>
      <c r="G160" s="4">
        <f t="shared" si="4"/>
        <v>2.3649999999999998</v>
      </c>
      <c r="H160" s="4"/>
      <c r="I160" s="4">
        <f t="shared" si="5"/>
        <v>0</v>
      </c>
    </row>
    <row r="161" spans="1:9" x14ac:dyDescent="0.25">
      <c r="A161" s="5" t="s">
        <v>420</v>
      </c>
      <c r="B161" s="5" t="s">
        <v>32</v>
      </c>
      <c r="C161" s="8" t="s">
        <v>421</v>
      </c>
      <c r="D161" s="8" t="s">
        <v>422</v>
      </c>
      <c r="E161" s="4">
        <v>32.380000000000003</v>
      </c>
      <c r="F161" s="4">
        <v>3.238</v>
      </c>
      <c r="G161" s="9">
        <f t="shared" si="4"/>
        <v>35.618000000000002</v>
      </c>
      <c r="H161" s="10">
        <v>1</v>
      </c>
      <c r="I161" s="9">
        <f t="shared" si="5"/>
        <v>35.618000000000002</v>
      </c>
    </row>
    <row r="162" spans="1:9" hidden="1" x14ac:dyDescent="0.25">
      <c r="A162" s="6" t="s">
        <v>423</v>
      </c>
      <c r="B162" s="6" t="s">
        <v>32</v>
      </c>
      <c r="C162" s="6" t="s">
        <v>424</v>
      </c>
      <c r="D162" s="6" t="s">
        <v>37</v>
      </c>
      <c r="E162" s="7">
        <v>15.2</v>
      </c>
      <c r="F162" s="7">
        <v>1.52</v>
      </c>
      <c r="G162" s="4">
        <f t="shared" si="4"/>
        <v>16.72</v>
      </c>
      <c r="H162" s="4"/>
      <c r="I162" s="4">
        <f t="shared" si="5"/>
        <v>0</v>
      </c>
    </row>
    <row r="163" spans="1:9" x14ac:dyDescent="0.25">
      <c r="A163" s="5" t="s">
        <v>425</v>
      </c>
      <c r="B163" s="5" t="s">
        <v>426</v>
      </c>
      <c r="C163" s="8" t="s">
        <v>427</v>
      </c>
      <c r="D163" s="8" t="s">
        <v>20</v>
      </c>
      <c r="E163" s="4">
        <v>21.38</v>
      </c>
      <c r="F163" s="4">
        <v>2.1379999999999999</v>
      </c>
      <c r="G163" s="9">
        <f t="shared" si="4"/>
        <v>23.518000000000001</v>
      </c>
      <c r="H163" s="10">
        <v>1</v>
      </c>
      <c r="I163" s="9">
        <f t="shared" si="5"/>
        <v>23.518000000000001</v>
      </c>
    </row>
    <row r="164" spans="1:9" x14ac:dyDescent="0.25">
      <c r="A164" s="6" t="s">
        <v>428</v>
      </c>
      <c r="B164" s="6" t="s">
        <v>429</v>
      </c>
      <c r="C164" s="11" t="s">
        <v>430</v>
      </c>
      <c r="D164" s="11" t="s">
        <v>16</v>
      </c>
      <c r="E164" s="7">
        <v>59.33</v>
      </c>
      <c r="F164" s="7">
        <v>5.9329999999999998</v>
      </c>
      <c r="G164" s="9">
        <f t="shared" si="4"/>
        <v>65.263000000000005</v>
      </c>
      <c r="H164" s="10">
        <v>0.7</v>
      </c>
      <c r="I164" s="9">
        <f t="shared" si="5"/>
        <v>45.684100000000001</v>
      </c>
    </row>
    <row r="165" spans="1:9" hidden="1" x14ac:dyDescent="0.25">
      <c r="A165" s="5" t="s">
        <v>431</v>
      </c>
      <c r="B165" s="5" t="s">
        <v>372</v>
      </c>
      <c r="C165" s="5" t="s">
        <v>432</v>
      </c>
      <c r="D165" s="5" t="s">
        <v>20</v>
      </c>
      <c r="E165" s="4">
        <v>5.34</v>
      </c>
      <c r="F165" s="4">
        <v>0.53400000000000003</v>
      </c>
      <c r="G165" s="4">
        <f t="shared" si="4"/>
        <v>5.8739999999999997</v>
      </c>
      <c r="H165" s="4"/>
      <c r="I165" s="4">
        <f t="shared" si="5"/>
        <v>0</v>
      </c>
    </row>
    <row r="166" spans="1:9" x14ac:dyDescent="0.25">
      <c r="A166" s="6" t="s">
        <v>433</v>
      </c>
      <c r="B166" s="6" t="s">
        <v>32</v>
      </c>
      <c r="C166" s="11" t="s">
        <v>434</v>
      </c>
      <c r="D166" s="11" t="s">
        <v>435</v>
      </c>
      <c r="E166" s="7">
        <v>25.2</v>
      </c>
      <c r="F166" s="7">
        <v>2.52</v>
      </c>
      <c r="G166" s="9">
        <f t="shared" si="4"/>
        <v>27.72</v>
      </c>
      <c r="H166" s="10">
        <v>1</v>
      </c>
      <c r="I166" s="9">
        <f t="shared" si="5"/>
        <v>27.72</v>
      </c>
    </row>
    <row r="167" spans="1:9" hidden="1" x14ac:dyDescent="0.25">
      <c r="A167" s="5" t="s">
        <v>436</v>
      </c>
      <c r="B167" s="5" t="s">
        <v>437</v>
      </c>
      <c r="C167" s="5" t="s">
        <v>438</v>
      </c>
      <c r="D167" s="5" t="s">
        <v>439</v>
      </c>
      <c r="E167" s="4">
        <v>2.64</v>
      </c>
      <c r="F167" s="4">
        <v>0.26400000000000001</v>
      </c>
      <c r="G167" s="4">
        <f t="shared" si="4"/>
        <v>2.9039999999999999</v>
      </c>
      <c r="H167" s="4"/>
      <c r="I167" s="4">
        <f t="shared" si="5"/>
        <v>0</v>
      </c>
    </row>
    <row r="168" spans="1:9" hidden="1" x14ac:dyDescent="0.25">
      <c r="A168" s="6" t="s">
        <v>440</v>
      </c>
      <c r="B168" s="6" t="s">
        <v>437</v>
      </c>
      <c r="C168" s="6" t="s">
        <v>441</v>
      </c>
      <c r="D168" s="6" t="s">
        <v>16</v>
      </c>
      <c r="E168" s="7">
        <v>30.5</v>
      </c>
      <c r="F168" s="7">
        <v>3.05</v>
      </c>
      <c r="G168" s="4">
        <f t="shared" si="4"/>
        <v>33.549999999999997</v>
      </c>
      <c r="H168" s="4"/>
      <c r="I168" s="4">
        <f t="shared" si="5"/>
        <v>0</v>
      </c>
    </row>
    <row r="169" spans="1:9" hidden="1" x14ac:dyDescent="0.25">
      <c r="A169" s="5" t="s">
        <v>442</v>
      </c>
      <c r="B169" s="5" t="s">
        <v>437</v>
      </c>
      <c r="C169" s="5" t="s">
        <v>443</v>
      </c>
      <c r="D169" s="5" t="s">
        <v>16</v>
      </c>
      <c r="E169" s="4">
        <v>43.98</v>
      </c>
      <c r="F169" s="4">
        <v>4.3979999999999997</v>
      </c>
      <c r="G169" s="4">
        <f t="shared" si="4"/>
        <v>48.378</v>
      </c>
      <c r="H169" s="4"/>
      <c r="I169" s="4">
        <f t="shared" si="5"/>
        <v>0</v>
      </c>
    </row>
    <row r="170" spans="1:9" hidden="1" x14ac:dyDescent="0.25">
      <c r="A170" s="6" t="s">
        <v>444</v>
      </c>
      <c r="B170" s="6" t="s">
        <v>437</v>
      </c>
      <c r="C170" s="6" t="s">
        <v>445</v>
      </c>
      <c r="D170" s="6" t="s">
        <v>16</v>
      </c>
      <c r="E170" s="7">
        <v>42.44</v>
      </c>
      <c r="F170" s="7">
        <v>4.2439999999999998</v>
      </c>
      <c r="G170" s="4">
        <f t="shared" si="4"/>
        <v>46.683999999999997</v>
      </c>
      <c r="H170" s="4"/>
      <c r="I170" s="4">
        <f t="shared" si="5"/>
        <v>0</v>
      </c>
    </row>
    <row r="171" spans="1:9" hidden="1" x14ac:dyDescent="0.25">
      <c r="A171" s="5" t="s">
        <v>446</v>
      </c>
      <c r="B171" s="5" t="s">
        <v>437</v>
      </c>
      <c r="C171" s="5" t="s">
        <v>447</v>
      </c>
      <c r="D171" s="5" t="s">
        <v>16</v>
      </c>
      <c r="E171" s="4">
        <v>75.540000000000006</v>
      </c>
      <c r="F171" s="4">
        <v>7.5540000000000003</v>
      </c>
      <c r="G171" s="4">
        <f t="shared" si="4"/>
        <v>83.094000000000008</v>
      </c>
      <c r="H171" s="4"/>
      <c r="I171" s="4">
        <f t="shared" si="5"/>
        <v>0</v>
      </c>
    </row>
    <row r="172" spans="1:9" hidden="1" x14ac:dyDescent="0.25">
      <c r="A172" s="6" t="s">
        <v>448</v>
      </c>
      <c r="B172" s="6" t="s">
        <v>437</v>
      </c>
      <c r="C172" s="6" t="s">
        <v>449</v>
      </c>
      <c r="D172" s="6" t="s">
        <v>16</v>
      </c>
      <c r="E172" s="7">
        <v>57.87</v>
      </c>
      <c r="F172" s="7">
        <v>5.7869999999999999</v>
      </c>
      <c r="G172" s="4">
        <f t="shared" si="4"/>
        <v>63.656999999999996</v>
      </c>
      <c r="H172" s="4"/>
      <c r="I172" s="4">
        <f t="shared" si="5"/>
        <v>0</v>
      </c>
    </row>
    <row r="173" spans="1:9" hidden="1" x14ac:dyDescent="0.25">
      <c r="A173" s="5" t="s">
        <v>450</v>
      </c>
      <c r="B173" s="5" t="s">
        <v>437</v>
      </c>
      <c r="C173" s="5" t="s">
        <v>451</v>
      </c>
      <c r="D173" s="5" t="s">
        <v>159</v>
      </c>
      <c r="E173" s="4">
        <v>30.91</v>
      </c>
      <c r="F173" s="4">
        <v>3.0910000000000002</v>
      </c>
      <c r="G173" s="4">
        <f t="shared" si="4"/>
        <v>34.000999999999998</v>
      </c>
      <c r="H173" s="4"/>
      <c r="I173" s="4">
        <f t="shared" si="5"/>
        <v>0</v>
      </c>
    </row>
    <row r="174" spans="1:9" hidden="1" x14ac:dyDescent="0.25">
      <c r="A174" s="6" t="s">
        <v>452</v>
      </c>
      <c r="B174" s="6" t="s">
        <v>437</v>
      </c>
      <c r="C174" s="6" t="s">
        <v>453</v>
      </c>
      <c r="D174" s="6" t="s">
        <v>16</v>
      </c>
      <c r="E174" s="7">
        <v>38.5</v>
      </c>
      <c r="F174" s="7">
        <v>3.85</v>
      </c>
      <c r="G174" s="4">
        <f t="shared" si="4"/>
        <v>42.35</v>
      </c>
      <c r="H174" s="4"/>
      <c r="I174" s="4">
        <f t="shared" si="5"/>
        <v>0</v>
      </c>
    </row>
    <row r="175" spans="1:9" hidden="1" x14ac:dyDescent="0.25">
      <c r="A175" s="5" t="s">
        <v>454</v>
      </c>
      <c r="B175" s="5" t="s">
        <v>437</v>
      </c>
      <c r="C175" s="5" t="s">
        <v>455</v>
      </c>
      <c r="D175" s="5" t="s">
        <v>16</v>
      </c>
      <c r="E175" s="4">
        <v>20.82</v>
      </c>
      <c r="F175" s="4">
        <v>2.0819999999999999</v>
      </c>
      <c r="G175" s="4">
        <f t="shared" si="4"/>
        <v>22.902000000000001</v>
      </c>
      <c r="H175" s="4"/>
      <c r="I175" s="4">
        <f t="shared" si="5"/>
        <v>0</v>
      </c>
    </row>
    <row r="176" spans="1:9" hidden="1" x14ac:dyDescent="0.25">
      <c r="A176" s="6" t="s">
        <v>456</v>
      </c>
      <c r="B176" s="6" t="s">
        <v>437</v>
      </c>
      <c r="C176" s="6" t="s">
        <v>457</v>
      </c>
      <c r="D176" s="6" t="s">
        <v>439</v>
      </c>
      <c r="E176" s="7">
        <v>4.3099999999999996</v>
      </c>
      <c r="F176" s="7">
        <v>0.43099999999999999</v>
      </c>
      <c r="G176" s="4">
        <f t="shared" si="4"/>
        <v>4.7409999999999997</v>
      </c>
      <c r="H176" s="4"/>
      <c r="I176" s="4">
        <f t="shared" si="5"/>
        <v>0</v>
      </c>
    </row>
    <row r="177" spans="1:9" x14ac:dyDescent="0.25">
      <c r="A177" s="5" t="s">
        <v>458</v>
      </c>
      <c r="B177" s="5" t="s">
        <v>459</v>
      </c>
      <c r="C177" s="8" t="s">
        <v>460</v>
      </c>
      <c r="D177" s="8" t="s">
        <v>20</v>
      </c>
      <c r="E177" s="4">
        <v>17.48</v>
      </c>
      <c r="F177" s="4">
        <v>1.748</v>
      </c>
      <c r="G177" s="9">
        <f t="shared" si="4"/>
        <v>19.228000000000002</v>
      </c>
      <c r="H177" s="10">
        <v>1</v>
      </c>
      <c r="I177" s="9">
        <f t="shared" si="5"/>
        <v>19.228000000000002</v>
      </c>
    </row>
    <row r="178" spans="1:9" hidden="1" x14ac:dyDescent="0.25">
      <c r="A178" s="6" t="s">
        <v>461</v>
      </c>
      <c r="B178" s="6" t="s">
        <v>32</v>
      </c>
      <c r="C178" s="6" t="s">
        <v>462</v>
      </c>
      <c r="D178" s="6" t="s">
        <v>37</v>
      </c>
      <c r="E178" s="7">
        <v>1.8</v>
      </c>
      <c r="F178" s="7">
        <v>0.18</v>
      </c>
      <c r="G178" s="4">
        <f t="shared" si="4"/>
        <v>1.98</v>
      </c>
      <c r="H178" s="4"/>
      <c r="I178" s="4">
        <f t="shared" si="5"/>
        <v>0</v>
      </c>
    </row>
    <row r="179" spans="1:9" hidden="1" x14ac:dyDescent="0.25">
      <c r="A179" s="5" t="s">
        <v>463</v>
      </c>
      <c r="B179" s="5" t="s">
        <v>464</v>
      </c>
      <c r="C179" s="5" t="s">
        <v>465</v>
      </c>
      <c r="D179" s="5" t="s">
        <v>20</v>
      </c>
      <c r="E179" s="4">
        <v>2.2999999999999998</v>
      </c>
      <c r="F179" s="4">
        <v>0.23</v>
      </c>
      <c r="G179" s="4">
        <f t="shared" si="4"/>
        <v>2.5299999999999998</v>
      </c>
      <c r="H179" s="4"/>
      <c r="I179" s="4">
        <f t="shared" si="5"/>
        <v>0</v>
      </c>
    </row>
    <row r="180" spans="1:9" hidden="1" x14ac:dyDescent="0.25">
      <c r="A180" s="5" t="s">
        <v>466</v>
      </c>
      <c r="B180" s="5" t="s">
        <v>467</v>
      </c>
      <c r="C180" s="5" t="s">
        <v>468</v>
      </c>
      <c r="D180" s="5" t="s">
        <v>16</v>
      </c>
      <c r="E180" s="4">
        <v>74.12</v>
      </c>
      <c r="F180" s="4">
        <v>0</v>
      </c>
      <c r="G180" s="4">
        <f t="shared" si="4"/>
        <v>74.12</v>
      </c>
      <c r="H180" s="4"/>
      <c r="I180" s="4">
        <f t="shared" si="5"/>
        <v>0</v>
      </c>
    </row>
    <row r="181" spans="1:9" hidden="1" x14ac:dyDescent="0.25">
      <c r="A181" s="6" t="s">
        <v>469</v>
      </c>
      <c r="B181" s="6" t="s">
        <v>470</v>
      </c>
      <c r="C181" s="6" t="s">
        <v>471</v>
      </c>
      <c r="D181" s="6" t="s">
        <v>16</v>
      </c>
      <c r="E181" s="7">
        <v>171.06</v>
      </c>
      <c r="F181" s="7">
        <v>0</v>
      </c>
      <c r="G181" s="4">
        <f t="shared" si="4"/>
        <v>171.06</v>
      </c>
      <c r="H181" s="4"/>
      <c r="I181" s="4">
        <f t="shared" si="5"/>
        <v>0</v>
      </c>
    </row>
    <row r="182" spans="1:9" hidden="1" x14ac:dyDescent="0.25">
      <c r="A182" s="5" t="s">
        <v>472</v>
      </c>
      <c r="B182" s="5" t="s">
        <v>473</v>
      </c>
      <c r="C182" s="5" t="s">
        <v>474</v>
      </c>
      <c r="D182" s="5" t="s">
        <v>16</v>
      </c>
      <c r="E182" s="4">
        <v>171.06</v>
      </c>
      <c r="F182" s="4">
        <v>0</v>
      </c>
      <c r="G182" s="4">
        <f t="shared" si="4"/>
        <v>171.06</v>
      </c>
      <c r="H182" s="4"/>
      <c r="I182" s="4">
        <f t="shared" si="5"/>
        <v>0</v>
      </c>
    </row>
    <row r="183" spans="1:9" hidden="1" x14ac:dyDescent="0.25">
      <c r="A183" s="6" t="s">
        <v>475</v>
      </c>
      <c r="B183" s="6" t="s">
        <v>476</v>
      </c>
      <c r="C183" s="6" t="s">
        <v>477</v>
      </c>
      <c r="D183" s="6" t="s">
        <v>20</v>
      </c>
      <c r="E183" s="7">
        <v>24.38</v>
      </c>
      <c r="F183" s="7">
        <v>0</v>
      </c>
      <c r="G183" s="4">
        <f t="shared" si="4"/>
        <v>24.38</v>
      </c>
      <c r="H183" s="4"/>
      <c r="I183" s="4">
        <f t="shared" si="5"/>
        <v>0</v>
      </c>
    </row>
    <row r="184" spans="1:9" hidden="1" x14ac:dyDescent="0.25">
      <c r="A184" s="5" t="s">
        <v>478</v>
      </c>
      <c r="B184" s="5" t="s">
        <v>479</v>
      </c>
      <c r="C184" s="5" t="s">
        <v>480</v>
      </c>
      <c r="D184" s="5" t="s">
        <v>20</v>
      </c>
      <c r="E184" s="4">
        <v>12.07</v>
      </c>
      <c r="F184" s="4">
        <v>0</v>
      </c>
      <c r="G184" s="4">
        <f t="shared" si="4"/>
        <v>12.07</v>
      </c>
      <c r="H184" s="4"/>
      <c r="I184" s="4">
        <f t="shared" si="5"/>
        <v>0</v>
      </c>
    </row>
    <row r="185" spans="1:9" hidden="1" x14ac:dyDescent="0.25">
      <c r="A185" s="6" t="s">
        <v>481</v>
      </c>
      <c r="B185" s="6" t="s">
        <v>482</v>
      </c>
      <c r="C185" s="6" t="s">
        <v>483</v>
      </c>
      <c r="D185" s="6" t="s">
        <v>20</v>
      </c>
      <c r="E185" s="7">
        <v>15.71</v>
      </c>
      <c r="F185" s="7">
        <v>0</v>
      </c>
      <c r="G185" s="4">
        <f t="shared" si="4"/>
        <v>15.71</v>
      </c>
      <c r="H185" s="4"/>
      <c r="I185" s="4">
        <f t="shared" si="5"/>
        <v>0</v>
      </c>
    </row>
    <row r="186" spans="1:9" hidden="1" x14ac:dyDescent="0.25">
      <c r="A186" s="5" t="s">
        <v>484</v>
      </c>
      <c r="B186" s="5" t="s">
        <v>482</v>
      </c>
      <c r="C186" s="5" t="s">
        <v>485</v>
      </c>
      <c r="D186" s="5" t="s">
        <v>486</v>
      </c>
      <c r="E186" s="4">
        <v>22.11</v>
      </c>
      <c r="F186" s="4">
        <v>0</v>
      </c>
      <c r="G186" s="4">
        <f t="shared" si="4"/>
        <v>22.11</v>
      </c>
      <c r="H186" s="4"/>
      <c r="I186" s="4">
        <f t="shared" si="5"/>
        <v>0</v>
      </c>
    </row>
    <row r="187" spans="1:9" x14ac:dyDescent="0.25">
      <c r="A187" s="6" t="s">
        <v>487</v>
      </c>
      <c r="B187" s="6" t="s">
        <v>488</v>
      </c>
      <c r="C187" s="11" t="s">
        <v>489</v>
      </c>
      <c r="D187" s="11" t="s">
        <v>20</v>
      </c>
      <c r="E187" s="7">
        <v>13.7</v>
      </c>
      <c r="F187" s="7">
        <v>0</v>
      </c>
      <c r="G187" s="9">
        <v>12.06</v>
      </c>
      <c r="H187" s="10"/>
      <c r="I187" s="9">
        <f t="shared" si="5"/>
        <v>0</v>
      </c>
    </row>
    <row r="188" spans="1:9" hidden="1" x14ac:dyDescent="0.25">
      <c r="A188" s="5" t="s">
        <v>490</v>
      </c>
      <c r="B188" s="5" t="s">
        <v>491</v>
      </c>
      <c r="C188" s="5" t="s">
        <v>492</v>
      </c>
      <c r="D188" s="5" t="s">
        <v>20</v>
      </c>
      <c r="E188" s="4">
        <v>13.62</v>
      </c>
      <c r="F188" s="4">
        <v>0</v>
      </c>
      <c r="G188" s="4">
        <f t="shared" si="4"/>
        <v>13.62</v>
      </c>
      <c r="H188" s="4"/>
      <c r="I188" s="4">
        <f t="shared" si="5"/>
        <v>0</v>
      </c>
    </row>
    <row r="189" spans="1:9" hidden="1" x14ac:dyDescent="0.25">
      <c r="A189" s="6" t="s">
        <v>493</v>
      </c>
      <c r="B189" s="6" t="s">
        <v>494</v>
      </c>
      <c r="C189" s="6" t="s">
        <v>495</v>
      </c>
      <c r="D189" s="6" t="s">
        <v>20</v>
      </c>
      <c r="E189" s="7">
        <v>12.18</v>
      </c>
      <c r="F189" s="7">
        <v>0</v>
      </c>
      <c r="G189" s="4">
        <f t="shared" si="4"/>
        <v>12.18</v>
      </c>
      <c r="H189" s="4"/>
      <c r="I189" s="4">
        <f t="shared" si="5"/>
        <v>0</v>
      </c>
    </row>
    <row r="190" spans="1:9" hidden="1" x14ac:dyDescent="0.25">
      <c r="A190" s="5" t="s">
        <v>496</v>
      </c>
      <c r="B190" s="5" t="s">
        <v>488</v>
      </c>
      <c r="C190" s="5" t="s">
        <v>497</v>
      </c>
      <c r="D190" s="5" t="s">
        <v>37</v>
      </c>
      <c r="E190" s="4">
        <v>14.9962</v>
      </c>
      <c r="F190" s="4">
        <v>0</v>
      </c>
      <c r="G190" s="4">
        <f t="shared" si="4"/>
        <v>14.9962</v>
      </c>
      <c r="H190" s="4"/>
      <c r="I190" s="4">
        <f t="shared" si="5"/>
        <v>0</v>
      </c>
    </row>
    <row r="191" spans="1:9" hidden="1" x14ac:dyDescent="0.25">
      <c r="A191" s="6" t="s">
        <v>498</v>
      </c>
      <c r="B191" s="6" t="s">
        <v>499</v>
      </c>
      <c r="C191" s="6" t="s">
        <v>500</v>
      </c>
      <c r="D191" s="6" t="s">
        <v>16</v>
      </c>
      <c r="E191" s="7">
        <v>98.399500000000003</v>
      </c>
      <c r="F191" s="7">
        <v>0</v>
      </c>
      <c r="G191" s="4">
        <f t="shared" si="4"/>
        <v>98.399500000000003</v>
      </c>
      <c r="H191" s="4"/>
      <c r="I191" s="4">
        <f t="shared" si="5"/>
        <v>0</v>
      </c>
    </row>
    <row r="192" spans="1:9" hidden="1" x14ac:dyDescent="0.25">
      <c r="A192" s="5" t="s">
        <v>501</v>
      </c>
      <c r="B192" s="5" t="s">
        <v>502</v>
      </c>
      <c r="C192" s="5" t="s">
        <v>503</v>
      </c>
      <c r="D192" s="5" t="s">
        <v>37</v>
      </c>
      <c r="E192" s="4">
        <v>32.799999999999997</v>
      </c>
      <c r="F192" s="4">
        <v>0</v>
      </c>
      <c r="G192" s="4">
        <f t="shared" si="4"/>
        <v>32.799999999999997</v>
      </c>
      <c r="H192" s="4"/>
      <c r="I192" s="4">
        <f t="shared" si="5"/>
        <v>0</v>
      </c>
    </row>
    <row r="193" spans="1:9" hidden="1" x14ac:dyDescent="0.25">
      <c r="A193" s="6" t="s">
        <v>504</v>
      </c>
      <c r="B193" s="6" t="s">
        <v>502</v>
      </c>
      <c r="C193" s="6" t="s">
        <v>505</v>
      </c>
      <c r="D193" s="6" t="s">
        <v>37</v>
      </c>
      <c r="E193" s="7">
        <v>16.11</v>
      </c>
      <c r="F193" s="7">
        <v>0</v>
      </c>
      <c r="G193" s="4">
        <f t="shared" si="4"/>
        <v>16.11</v>
      </c>
      <c r="H193" s="4"/>
      <c r="I193" s="4">
        <f t="shared" si="5"/>
        <v>0</v>
      </c>
    </row>
    <row r="194" spans="1:9" hidden="1" x14ac:dyDescent="0.25">
      <c r="A194" s="5" t="s">
        <v>506</v>
      </c>
      <c r="B194" s="5" t="s">
        <v>507</v>
      </c>
      <c r="C194" s="5" t="s">
        <v>508</v>
      </c>
      <c r="D194" s="5" t="s">
        <v>114</v>
      </c>
      <c r="E194" s="4">
        <v>10.29</v>
      </c>
      <c r="F194" s="4">
        <v>0</v>
      </c>
      <c r="G194" s="4">
        <f t="shared" ref="G194:G248" si="6">SUM(E194:F194)</f>
        <v>10.29</v>
      </c>
      <c r="H194" s="4"/>
      <c r="I194" s="4">
        <f t="shared" si="5"/>
        <v>0</v>
      </c>
    </row>
    <row r="195" spans="1:9" hidden="1" x14ac:dyDescent="0.25">
      <c r="A195" s="6" t="s">
        <v>509</v>
      </c>
      <c r="B195" s="6" t="s">
        <v>467</v>
      </c>
      <c r="C195" s="6" t="s">
        <v>510</v>
      </c>
      <c r="D195" s="6" t="s">
        <v>65</v>
      </c>
      <c r="E195" s="7">
        <v>15.17</v>
      </c>
      <c r="F195" s="7">
        <v>0</v>
      </c>
      <c r="G195" s="4">
        <f t="shared" si="6"/>
        <v>15.17</v>
      </c>
      <c r="H195" s="4"/>
      <c r="I195" s="4">
        <f t="shared" ref="I195:I253" si="7">G195*H195</f>
        <v>0</v>
      </c>
    </row>
    <row r="196" spans="1:9" hidden="1" x14ac:dyDescent="0.25">
      <c r="A196" s="5" t="s">
        <v>511</v>
      </c>
      <c r="B196" s="5" t="s">
        <v>507</v>
      </c>
      <c r="C196" s="5" t="s">
        <v>512</v>
      </c>
      <c r="D196" s="5" t="s">
        <v>65</v>
      </c>
      <c r="E196" s="4">
        <v>22.96</v>
      </c>
      <c r="F196" s="4">
        <v>0</v>
      </c>
      <c r="G196" s="4">
        <f t="shared" si="6"/>
        <v>22.96</v>
      </c>
      <c r="H196" s="4"/>
      <c r="I196" s="4">
        <f t="shared" si="7"/>
        <v>0</v>
      </c>
    </row>
    <row r="197" spans="1:9" hidden="1" x14ac:dyDescent="0.25">
      <c r="A197" s="6" t="s">
        <v>513</v>
      </c>
      <c r="B197" s="6" t="s">
        <v>467</v>
      </c>
      <c r="C197" s="6" t="s">
        <v>514</v>
      </c>
      <c r="D197" s="6" t="s">
        <v>20</v>
      </c>
      <c r="E197" s="7">
        <v>2.4</v>
      </c>
      <c r="F197" s="7">
        <v>0</v>
      </c>
      <c r="G197" s="4">
        <f t="shared" si="6"/>
        <v>2.4</v>
      </c>
      <c r="H197" s="4"/>
      <c r="I197" s="4">
        <f t="shared" si="7"/>
        <v>0</v>
      </c>
    </row>
    <row r="198" spans="1:9" hidden="1" x14ac:dyDescent="0.25">
      <c r="A198" s="5" t="s">
        <v>515</v>
      </c>
      <c r="B198" s="5" t="s">
        <v>467</v>
      </c>
      <c r="C198" s="5" t="s">
        <v>516</v>
      </c>
      <c r="D198" s="5" t="s">
        <v>20</v>
      </c>
      <c r="E198" s="4">
        <v>2.2999999999999998</v>
      </c>
      <c r="F198" s="4">
        <v>0</v>
      </c>
      <c r="G198" s="4">
        <f t="shared" si="6"/>
        <v>2.2999999999999998</v>
      </c>
      <c r="H198" s="4"/>
      <c r="I198" s="4">
        <f t="shared" si="7"/>
        <v>0</v>
      </c>
    </row>
    <row r="199" spans="1:9" hidden="1" x14ac:dyDescent="0.25">
      <c r="A199" s="6" t="s">
        <v>517</v>
      </c>
      <c r="B199" s="6" t="s">
        <v>32</v>
      </c>
      <c r="C199" s="6" t="s">
        <v>518</v>
      </c>
      <c r="D199" s="6" t="s">
        <v>20</v>
      </c>
      <c r="E199" s="7">
        <v>3.48</v>
      </c>
      <c r="F199" s="7">
        <v>0</v>
      </c>
      <c r="G199" s="4">
        <f t="shared" si="6"/>
        <v>3.48</v>
      </c>
      <c r="H199" s="4"/>
      <c r="I199" s="4">
        <f t="shared" si="7"/>
        <v>0</v>
      </c>
    </row>
    <row r="200" spans="1:9" hidden="1" x14ac:dyDescent="0.25">
      <c r="A200" s="5" t="s">
        <v>519</v>
      </c>
      <c r="B200" s="5" t="s">
        <v>520</v>
      </c>
      <c r="C200" s="5" t="s">
        <v>521</v>
      </c>
      <c r="D200" s="5" t="s">
        <v>114</v>
      </c>
      <c r="E200" s="4">
        <v>24.32</v>
      </c>
      <c r="F200" s="4">
        <v>0</v>
      </c>
      <c r="G200" s="4">
        <f t="shared" si="6"/>
        <v>24.32</v>
      </c>
      <c r="H200" s="4"/>
      <c r="I200" s="4">
        <f t="shared" si="7"/>
        <v>0</v>
      </c>
    </row>
    <row r="201" spans="1:9" hidden="1" x14ac:dyDescent="0.25">
      <c r="A201" s="6" t="s">
        <v>522</v>
      </c>
      <c r="B201" s="6" t="s">
        <v>520</v>
      </c>
      <c r="C201" s="6" t="s">
        <v>523</v>
      </c>
      <c r="D201" s="6" t="s">
        <v>20</v>
      </c>
      <c r="E201" s="7">
        <v>27.955100000000002</v>
      </c>
      <c r="F201" s="7">
        <v>0</v>
      </c>
      <c r="G201" s="4">
        <f t="shared" si="6"/>
        <v>27.955100000000002</v>
      </c>
      <c r="H201" s="4"/>
      <c r="I201" s="4">
        <f t="shared" si="7"/>
        <v>0</v>
      </c>
    </row>
    <row r="202" spans="1:9" hidden="1" x14ac:dyDescent="0.25">
      <c r="A202" s="5" t="s">
        <v>524</v>
      </c>
      <c r="B202" s="5" t="s">
        <v>525</v>
      </c>
      <c r="C202" s="5" t="s">
        <v>526</v>
      </c>
      <c r="D202" s="5" t="s">
        <v>171</v>
      </c>
      <c r="E202" s="4">
        <v>29.336300000000001</v>
      </c>
      <c r="F202" s="4">
        <v>0</v>
      </c>
      <c r="G202" s="4">
        <f t="shared" si="6"/>
        <v>29.336300000000001</v>
      </c>
      <c r="H202" s="4"/>
      <c r="I202" s="4">
        <f t="shared" si="7"/>
        <v>0</v>
      </c>
    </row>
    <row r="203" spans="1:9" hidden="1" x14ac:dyDescent="0.25">
      <c r="A203" s="6" t="s">
        <v>527</v>
      </c>
      <c r="B203" s="6" t="s">
        <v>520</v>
      </c>
      <c r="C203" s="6" t="s">
        <v>528</v>
      </c>
      <c r="D203" s="6" t="s">
        <v>20</v>
      </c>
      <c r="E203" s="7">
        <v>25.616299999999999</v>
      </c>
      <c r="F203" s="7">
        <v>0</v>
      </c>
      <c r="G203" s="4">
        <f t="shared" si="6"/>
        <v>25.616299999999999</v>
      </c>
      <c r="H203" s="4"/>
      <c r="I203" s="4">
        <f t="shared" si="7"/>
        <v>0</v>
      </c>
    </row>
    <row r="204" spans="1:9" x14ac:dyDescent="0.25">
      <c r="A204" s="5" t="s">
        <v>529</v>
      </c>
      <c r="B204" s="5" t="s">
        <v>530</v>
      </c>
      <c r="C204" s="8" t="s">
        <v>531</v>
      </c>
      <c r="D204" s="8" t="s">
        <v>20</v>
      </c>
      <c r="E204" s="4">
        <v>2.1</v>
      </c>
      <c r="F204" s="4">
        <v>0</v>
      </c>
      <c r="G204" s="9">
        <v>2.35</v>
      </c>
      <c r="H204" s="10">
        <v>2</v>
      </c>
      <c r="I204" s="9">
        <f t="shared" si="7"/>
        <v>4.7</v>
      </c>
    </row>
    <row r="205" spans="1:9" hidden="1" x14ac:dyDescent="0.25">
      <c r="A205" s="6" t="s">
        <v>532</v>
      </c>
      <c r="B205" s="6" t="s">
        <v>533</v>
      </c>
      <c r="C205" s="6" t="s">
        <v>534</v>
      </c>
      <c r="D205" s="6" t="s">
        <v>20</v>
      </c>
      <c r="E205" s="7">
        <v>4.63</v>
      </c>
      <c r="F205" s="7">
        <v>0</v>
      </c>
      <c r="G205" s="4">
        <f t="shared" si="6"/>
        <v>4.63</v>
      </c>
      <c r="H205" s="4"/>
      <c r="I205" s="4">
        <f t="shared" si="7"/>
        <v>0</v>
      </c>
    </row>
    <row r="206" spans="1:9" hidden="1" x14ac:dyDescent="0.25">
      <c r="A206" s="5" t="s">
        <v>535</v>
      </c>
      <c r="B206" s="5" t="s">
        <v>536</v>
      </c>
      <c r="C206" s="5" t="s">
        <v>537</v>
      </c>
      <c r="D206" s="5" t="s">
        <v>114</v>
      </c>
      <c r="E206" s="4">
        <v>20.36</v>
      </c>
      <c r="F206" s="4">
        <v>0</v>
      </c>
      <c r="G206" s="4">
        <f t="shared" si="6"/>
        <v>20.36</v>
      </c>
      <c r="H206" s="4"/>
      <c r="I206" s="4">
        <f t="shared" si="7"/>
        <v>0</v>
      </c>
    </row>
    <row r="207" spans="1:9" hidden="1" x14ac:dyDescent="0.25">
      <c r="A207" s="6" t="s">
        <v>538</v>
      </c>
      <c r="B207" s="6" t="s">
        <v>539</v>
      </c>
      <c r="C207" s="6" t="s">
        <v>540</v>
      </c>
      <c r="D207" s="6" t="s">
        <v>20</v>
      </c>
      <c r="E207" s="7">
        <v>6.11</v>
      </c>
      <c r="F207" s="7">
        <v>0</v>
      </c>
      <c r="G207" s="4">
        <f t="shared" si="6"/>
        <v>6.11</v>
      </c>
      <c r="H207" s="4"/>
      <c r="I207" s="4">
        <f t="shared" si="7"/>
        <v>0</v>
      </c>
    </row>
    <row r="208" spans="1:9" hidden="1" x14ac:dyDescent="0.25">
      <c r="A208" s="5" t="s">
        <v>541</v>
      </c>
      <c r="B208" s="5" t="s">
        <v>542</v>
      </c>
      <c r="C208" s="5" t="s">
        <v>543</v>
      </c>
      <c r="D208" s="5" t="s">
        <v>159</v>
      </c>
      <c r="E208" s="4">
        <v>39.93</v>
      </c>
      <c r="F208" s="4">
        <v>0</v>
      </c>
      <c r="G208" s="4">
        <f t="shared" si="6"/>
        <v>39.93</v>
      </c>
      <c r="H208" s="4"/>
      <c r="I208" s="4">
        <f t="shared" si="7"/>
        <v>0</v>
      </c>
    </row>
    <row r="209" spans="1:9" hidden="1" x14ac:dyDescent="0.25">
      <c r="A209" s="6" t="s">
        <v>544</v>
      </c>
      <c r="B209" s="6" t="s">
        <v>545</v>
      </c>
      <c r="C209" s="6" t="s">
        <v>546</v>
      </c>
      <c r="D209" s="6" t="s">
        <v>159</v>
      </c>
      <c r="E209" s="7">
        <v>23.509799999999998</v>
      </c>
      <c r="F209" s="7">
        <v>0</v>
      </c>
      <c r="G209" s="4">
        <f t="shared" si="6"/>
        <v>23.509799999999998</v>
      </c>
      <c r="H209" s="4"/>
      <c r="I209" s="4">
        <f t="shared" si="7"/>
        <v>0</v>
      </c>
    </row>
    <row r="210" spans="1:9" x14ac:dyDescent="0.25">
      <c r="A210" s="5" t="s">
        <v>547</v>
      </c>
      <c r="B210" s="5" t="s">
        <v>105</v>
      </c>
      <c r="C210" s="8" t="s">
        <v>548</v>
      </c>
      <c r="D210" s="8" t="s">
        <v>24</v>
      </c>
      <c r="E210" s="4">
        <v>11.11</v>
      </c>
      <c r="F210" s="4">
        <v>0</v>
      </c>
      <c r="G210" s="9">
        <f t="shared" si="6"/>
        <v>11.11</v>
      </c>
      <c r="H210" s="10">
        <v>3</v>
      </c>
      <c r="I210" s="9">
        <f t="shared" si="7"/>
        <v>33.33</v>
      </c>
    </row>
    <row r="211" spans="1:9" hidden="1" x14ac:dyDescent="0.25">
      <c r="A211" s="6" t="s">
        <v>549</v>
      </c>
      <c r="B211" s="6" t="s">
        <v>550</v>
      </c>
      <c r="C211" s="6" t="s">
        <v>551</v>
      </c>
      <c r="D211" s="6" t="s">
        <v>20</v>
      </c>
      <c r="E211" s="7">
        <v>13.9</v>
      </c>
      <c r="F211" s="7">
        <v>0</v>
      </c>
      <c r="G211" s="4">
        <f t="shared" si="6"/>
        <v>13.9</v>
      </c>
      <c r="H211" s="4"/>
      <c r="I211" s="4">
        <f t="shared" si="7"/>
        <v>0</v>
      </c>
    </row>
    <row r="212" spans="1:9" hidden="1" x14ac:dyDescent="0.25">
      <c r="A212" s="5" t="s">
        <v>552</v>
      </c>
      <c r="B212" s="5" t="s">
        <v>553</v>
      </c>
      <c r="C212" s="5" t="s">
        <v>554</v>
      </c>
      <c r="D212" s="5" t="s">
        <v>20</v>
      </c>
      <c r="E212" s="4">
        <v>10.06</v>
      </c>
      <c r="F212" s="4">
        <v>0</v>
      </c>
      <c r="G212" s="4">
        <f t="shared" si="6"/>
        <v>10.06</v>
      </c>
      <c r="H212" s="4"/>
      <c r="I212" s="4">
        <f t="shared" si="7"/>
        <v>0</v>
      </c>
    </row>
    <row r="213" spans="1:9" x14ac:dyDescent="0.25">
      <c r="A213" s="6" t="s">
        <v>555</v>
      </c>
      <c r="B213" s="6" t="s">
        <v>105</v>
      </c>
      <c r="C213" s="11" t="s">
        <v>556</v>
      </c>
      <c r="D213" s="11" t="s">
        <v>20</v>
      </c>
      <c r="E213" s="7">
        <v>9.66</v>
      </c>
      <c r="F213" s="7">
        <v>0</v>
      </c>
      <c r="G213" s="9">
        <f t="shared" si="6"/>
        <v>9.66</v>
      </c>
      <c r="H213" s="10">
        <v>5</v>
      </c>
      <c r="I213" s="9">
        <f t="shared" si="7"/>
        <v>48.3</v>
      </c>
    </row>
    <row r="214" spans="1:9" hidden="1" x14ac:dyDescent="0.25">
      <c r="A214" s="5" t="s">
        <v>557</v>
      </c>
      <c r="B214" s="5" t="s">
        <v>553</v>
      </c>
      <c r="C214" s="5" t="s">
        <v>558</v>
      </c>
      <c r="D214" s="5" t="s">
        <v>37</v>
      </c>
      <c r="E214" s="4">
        <v>8.66</v>
      </c>
      <c r="F214" s="4">
        <v>0</v>
      </c>
      <c r="G214" s="4">
        <f t="shared" si="6"/>
        <v>8.66</v>
      </c>
      <c r="H214" s="4"/>
      <c r="I214" s="4">
        <f t="shared" si="7"/>
        <v>0</v>
      </c>
    </row>
    <row r="215" spans="1:9" hidden="1" x14ac:dyDescent="0.25">
      <c r="A215" s="5" t="s">
        <v>559</v>
      </c>
      <c r="B215" s="5" t="s">
        <v>560</v>
      </c>
      <c r="C215" s="5" t="s">
        <v>561</v>
      </c>
      <c r="D215" s="5" t="s">
        <v>37</v>
      </c>
      <c r="E215" s="4">
        <v>11.984999999999999</v>
      </c>
      <c r="F215" s="4">
        <v>0</v>
      </c>
      <c r="G215" s="4">
        <f t="shared" si="6"/>
        <v>11.984999999999999</v>
      </c>
      <c r="H215" s="4"/>
      <c r="I215" s="4">
        <f t="shared" si="7"/>
        <v>0</v>
      </c>
    </row>
    <row r="216" spans="1:9" hidden="1" x14ac:dyDescent="0.25">
      <c r="A216" s="6" t="s">
        <v>562</v>
      </c>
      <c r="B216" s="6" t="s">
        <v>563</v>
      </c>
      <c r="C216" s="6" t="s">
        <v>564</v>
      </c>
      <c r="D216" s="6" t="s">
        <v>20</v>
      </c>
      <c r="E216" s="7">
        <v>10.2897</v>
      </c>
      <c r="F216" s="7">
        <v>0</v>
      </c>
      <c r="G216" s="4">
        <f t="shared" si="6"/>
        <v>10.2897</v>
      </c>
      <c r="H216" s="4"/>
      <c r="I216" s="4">
        <f t="shared" si="7"/>
        <v>0</v>
      </c>
    </row>
    <row r="217" spans="1:9" hidden="1" x14ac:dyDescent="0.25">
      <c r="A217" s="5" t="s">
        <v>565</v>
      </c>
      <c r="B217" s="5" t="s">
        <v>566</v>
      </c>
      <c r="C217" s="5" t="s">
        <v>567</v>
      </c>
      <c r="D217" s="5" t="s">
        <v>20</v>
      </c>
      <c r="E217" s="4">
        <v>19.75</v>
      </c>
      <c r="F217" s="4">
        <v>0</v>
      </c>
      <c r="G217" s="4">
        <f t="shared" si="6"/>
        <v>19.75</v>
      </c>
      <c r="H217" s="4"/>
      <c r="I217" s="4">
        <f t="shared" si="7"/>
        <v>0</v>
      </c>
    </row>
    <row r="218" spans="1:9" hidden="1" x14ac:dyDescent="0.25">
      <c r="A218" s="6" t="s">
        <v>568</v>
      </c>
      <c r="B218" s="6" t="s">
        <v>569</v>
      </c>
      <c r="C218" s="6" t="s">
        <v>570</v>
      </c>
      <c r="D218" s="6" t="s">
        <v>20</v>
      </c>
      <c r="E218" s="7">
        <v>19.13</v>
      </c>
      <c r="F218" s="7">
        <v>1.913</v>
      </c>
      <c r="G218" s="4">
        <f t="shared" si="6"/>
        <v>21.042999999999999</v>
      </c>
      <c r="H218" s="4"/>
      <c r="I218" s="4">
        <f t="shared" si="7"/>
        <v>0</v>
      </c>
    </row>
    <row r="219" spans="1:9" hidden="1" x14ac:dyDescent="0.25">
      <c r="A219" s="5" t="s">
        <v>571</v>
      </c>
      <c r="B219" s="5" t="s">
        <v>572</v>
      </c>
      <c r="C219" s="5" t="s">
        <v>573</v>
      </c>
      <c r="D219" s="5" t="s">
        <v>37</v>
      </c>
      <c r="E219" s="4">
        <v>4.55</v>
      </c>
      <c r="F219" s="4">
        <v>0</v>
      </c>
      <c r="G219" s="4">
        <f t="shared" si="6"/>
        <v>4.55</v>
      </c>
      <c r="H219" s="4"/>
      <c r="I219" s="4">
        <f t="shared" si="7"/>
        <v>0</v>
      </c>
    </row>
    <row r="220" spans="1:9" hidden="1" x14ac:dyDescent="0.25">
      <c r="A220" s="6" t="s">
        <v>574</v>
      </c>
      <c r="B220" s="6" t="s">
        <v>575</v>
      </c>
      <c r="C220" s="6" t="s">
        <v>576</v>
      </c>
      <c r="D220" s="6" t="s">
        <v>20</v>
      </c>
      <c r="E220" s="7">
        <v>32.74</v>
      </c>
      <c r="F220" s="7">
        <v>0</v>
      </c>
      <c r="G220" s="4">
        <f t="shared" si="6"/>
        <v>32.74</v>
      </c>
      <c r="H220" s="4"/>
      <c r="I220" s="4">
        <f t="shared" si="7"/>
        <v>0</v>
      </c>
    </row>
    <row r="221" spans="1:9" hidden="1" x14ac:dyDescent="0.25">
      <c r="A221" s="5" t="s">
        <v>577</v>
      </c>
      <c r="B221" s="5" t="s">
        <v>578</v>
      </c>
      <c r="C221" s="5" t="s">
        <v>579</v>
      </c>
      <c r="D221" s="5" t="s">
        <v>37</v>
      </c>
      <c r="E221" s="4">
        <v>12.77</v>
      </c>
      <c r="F221" s="4">
        <v>0</v>
      </c>
      <c r="G221" s="4">
        <f t="shared" si="6"/>
        <v>12.77</v>
      </c>
      <c r="H221" s="4"/>
      <c r="I221" s="4">
        <f t="shared" si="7"/>
        <v>0</v>
      </c>
    </row>
    <row r="222" spans="1:9" hidden="1" x14ac:dyDescent="0.25">
      <c r="A222" s="6" t="s">
        <v>580</v>
      </c>
      <c r="B222" s="6" t="s">
        <v>581</v>
      </c>
      <c r="C222" s="6" t="s">
        <v>582</v>
      </c>
      <c r="D222" s="6" t="s">
        <v>24</v>
      </c>
      <c r="E222" s="7">
        <v>7.6596000000000002</v>
      </c>
      <c r="F222" s="7">
        <v>0</v>
      </c>
      <c r="G222" s="4">
        <f t="shared" si="6"/>
        <v>7.6596000000000002</v>
      </c>
      <c r="H222" s="4"/>
      <c r="I222" s="4">
        <f t="shared" si="7"/>
        <v>0</v>
      </c>
    </row>
    <row r="223" spans="1:9" hidden="1" x14ac:dyDescent="0.25">
      <c r="A223" s="5" t="s">
        <v>583</v>
      </c>
      <c r="B223" s="5" t="s">
        <v>542</v>
      </c>
      <c r="C223" s="5" t="s">
        <v>584</v>
      </c>
      <c r="D223" s="5" t="s">
        <v>24</v>
      </c>
      <c r="E223" s="4">
        <v>6.74</v>
      </c>
      <c r="F223" s="4">
        <v>0</v>
      </c>
      <c r="G223" s="4">
        <f t="shared" si="6"/>
        <v>6.74</v>
      </c>
      <c r="H223" s="4"/>
      <c r="I223" s="4">
        <f t="shared" si="7"/>
        <v>0</v>
      </c>
    </row>
    <row r="224" spans="1:9" hidden="1" x14ac:dyDescent="0.25">
      <c r="G224" s="4">
        <f t="shared" si="6"/>
        <v>0</v>
      </c>
      <c r="H224" s="4"/>
      <c r="I224" s="4">
        <f t="shared" si="7"/>
        <v>0</v>
      </c>
    </row>
    <row r="225" spans="2:9" hidden="1" x14ac:dyDescent="0.25">
      <c r="G225" s="4">
        <f t="shared" si="6"/>
        <v>0</v>
      </c>
      <c r="H225" s="4"/>
      <c r="I225" s="4">
        <f t="shared" si="7"/>
        <v>0</v>
      </c>
    </row>
    <row r="226" spans="2:9" hidden="1" x14ac:dyDescent="0.25">
      <c r="G226" s="4">
        <f t="shared" si="6"/>
        <v>0</v>
      </c>
      <c r="H226" s="4"/>
      <c r="I226" s="4">
        <f t="shared" si="7"/>
        <v>0</v>
      </c>
    </row>
    <row r="227" spans="2:9" hidden="1" x14ac:dyDescent="0.25">
      <c r="G227" s="4">
        <f t="shared" si="6"/>
        <v>0</v>
      </c>
      <c r="H227" s="4"/>
      <c r="I227" s="4">
        <f t="shared" si="7"/>
        <v>0</v>
      </c>
    </row>
    <row r="228" spans="2:9" hidden="1" x14ac:dyDescent="0.25">
      <c r="G228" s="4">
        <f t="shared" si="6"/>
        <v>0</v>
      </c>
      <c r="H228" s="4"/>
      <c r="I228" s="4">
        <f t="shared" si="7"/>
        <v>0</v>
      </c>
    </row>
    <row r="229" spans="2:9" hidden="1" x14ac:dyDescent="0.25">
      <c r="G229" s="4">
        <f t="shared" si="6"/>
        <v>0</v>
      </c>
      <c r="H229" s="4"/>
      <c r="I229" s="4">
        <f t="shared" si="7"/>
        <v>0</v>
      </c>
    </row>
    <row r="230" spans="2:9" hidden="1" x14ac:dyDescent="0.25">
      <c r="G230" s="4"/>
      <c r="H230" s="4"/>
      <c r="I230" s="4">
        <f t="shared" si="7"/>
        <v>0</v>
      </c>
    </row>
    <row r="231" spans="2:9" hidden="1" x14ac:dyDescent="0.25">
      <c r="G231" s="4"/>
      <c r="H231" s="4"/>
      <c r="I231" s="4">
        <f t="shared" si="7"/>
        <v>0</v>
      </c>
    </row>
    <row r="232" spans="2:9" hidden="1" x14ac:dyDescent="0.25">
      <c r="G232" s="4"/>
      <c r="H232" s="4"/>
      <c r="I232" s="4">
        <f t="shared" si="7"/>
        <v>0</v>
      </c>
    </row>
    <row r="233" spans="2:9" hidden="1" x14ac:dyDescent="0.25">
      <c r="G233" s="4"/>
      <c r="H233" s="4"/>
      <c r="I233" s="4">
        <f t="shared" si="7"/>
        <v>0</v>
      </c>
    </row>
    <row r="234" spans="2:9" hidden="1" x14ac:dyDescent="0.25">
      <c r="G234" s="4"/>
      <c r="H234" s="4"/>
      <c r="I234" s="4">
        <f t="shared" si="7"/>
        <v>0</v>
      </c>
    </row>
    <row r="235" spans="2:9" x14ac:dyDescent="0.25">
      <c r="B235" s="12" t="s">
        <v>105</v>
      </c>
      <c r="C235" s="12" t="s">
        <v>585</v>
      </c>
      <c r="D235" s="12" t="s">
        <v>20</v>
      </c>
      <c r="E235" s="12"/>
      <c r="F235" s="12"/>
      <c r="G235" s="13">
        <v>3.5</v>
      </c>
      <c r="H235" s="14"/>
      <c r="I235" s="13">
        <f>G235*H235</f>
        <v>0</v>
      </c>
    </row>
    <row r="236" spans="2:9" x14ac:dyDescent="0.25">
      <c r="B236" s="12" t="s">
        <v>105</v>
      </c>
      <c r="C236" s="12" t="s">
        <v>586</v>
      </c>
      <c r="D236" s="12" t="s">
        <v>587</v>
      </c>
      <c r="E236" s="12"/>
      <c r="F236" s="12"/>
      <c r="G236" s="13"/>
      <c r="H236" s="14"/>
      <c r="I236" s="13">
        <f t="shared" ref="I236:I253" si="8">G236*H236</f>
        <v>0</v>
      </c>
    </row>
    <row r="237" spans="2:9" x14ac:dyDescent="0.25">
      <c r="B237" s="12" t="s">
        <v>105</v>
      </c>
      <c r="C237" s="12" t="s">
        <v>588</v>
      </c>
      <c r="D237" s="12" t="s">
        <v>20</v>
      </c>
      <c r="E237" s="12"/>
      <c r="F237" s="12"/>
      <c r="G237" s="13"/>
      <c r="H237" s="14"/>
      <c r="I237" s="13">
        <f t="shared" si="8"/>
        <v>0</v>
      </c>
    </row>
    <row r="238" spans="2:9" x14ac:dyDescent="0.25">
      <c r="B238" s="12" t="s">
        <v>545</v>
      </c>
      <c r="C238" s="12" t="s">
        <v>589</v>
      </c>
      <c r="D238" s="12" t="s">
        <v>37</v>
      </c>
      <c r="E238" s="12">
        <v>6.66</v>
      </c>
      <c r="F238" s="12">
        <v>0</v>
      </c>
      <c r="G238" s="13">
        <v>8.1300000000000008</v>
      </c>
      <c r="H238" s="14">
        <v>2</v>
      </c>
      <c r="I238" s="13">
        <f t="shared" si="8"/>
        <v>16.260000000000002</v>
      </c>
    </row>
    <row r="239" spans="2:9" x14ac:dyDescent="0.25">
      <c r="B239" s="12" t="s">
        <v>590</v>
      </c>
      <c r="C239" s="12" t="s">
        <v>591</v>
      </c>
      <c r="D239" s="12" t="s">
        <v>592</v>
      </c>
      <c r="E239" s="12"/>
      <c r="F239" s="12"/>
      <c r="G239" s="13">
        <v>29.5</v>
      </c>
      <c r="H239" s="14">
        <v>39.5</v>
      </c>
      <c r="I239" s="13">
        <f t="shared" si="8"/>
        <v>1165.25</v>
      </c>
    </row>
    <row r="240" spans="2:9" s="18" customFormat="1" x14ac:dyDescent="0.25">
      <c r="B240" s="15">
        <v>1.3</v>
      </c>
      <c r="C240" s="15" t="s">
        <v>593</v>
      </c>
      <c r="D240" s="15" t="s">
        <v>594</v>
      </c>
      <c r="E240" s="15"/>
      <c r="F240" s="15"/>
      <c r="G240" s="16">
        <v>132</v>
      </c>
      <c r="H240" s="17">
        <v>1.2</v>
      </c>
      <c r="I240" s="16">
        <f t="shared" si="8"/>
        <v>158.4</v>
      </c>
    </row>
    <row r="241" spans="2:9" x14ac:dyDescent="0.25">
      <c r="B241" s="12" t="s">
        <v>590</v>
      </c>
      <c r="C241" s="12" t="s">
        <v>595</v>
      </c>
      <c r="D241" s="12" t="s">
        <v>592</v>
      </c>
      <c r="E241" s="12"/>
      <c r="F241" s="12"/>
      <c r="G241" s="13">
        <v>27.5</v>
      </c>
      <c r="H241" s="14">
        <v>7</v>
      </c>
      <c r="I241" s="13">
        <f t="shared" si="8"/>
        <v>192.5</v>
      </c>
    </row>
    <row r="242" spans="2:9" x14ac:dyDescent="0.25">
      <c r="B242" s="19"/>
      <c r="C242" s="19" t="s">
        <v>596</v>
      </c>
      <c r="D242" s="19" t="s">
        <v>597</v>
      </c>
      <c r="E242" s="20"/>
      <c r="F242" s="20"/>
      <c r="G242" s="21">
        <v>110.45</v>
      </c>
      <c r="H242" s="22">
        <v>1.8</v>
      </c>
      <c r="I242" s="23">
        <f t="shared" si="8"/>
        <v>198.81</v>
      </c>
    </row>
    <row r="243" spans="2:9" x14ac:dyDescent="0.25">
      <c r="B243" s="19"/>
      <c r="C243" s="24" t="s">
        <v>598</v>
      </c>
      <c r="D243" s="24" t="s">
        <v>599</v>
      </c>
      <c r="E243" s="20"/>
      <c r="F243" s="20"/>
      <c r="G243" s="21">
        <v>0.53923916522026605</v>
      </c>
      <c r="H243" s="25">
        <v>32</v>
      </c>
      <c r="I243" s="23">
        <f t="shared" si="8"/>
        <v>17.255653287048514</v>
      </c>
    </row>
    <row r="244" spans="2:9" x14ac:dyDescent="0.25">
      <c r="B244" s="19"/>
      <c r="C244" s="24" t="s">
        <v>600</v>
      </c>
      <c r="D244" s="24" t="s">
        <v>599</v>
      </c>
      <c r="E244" s="20"/>
      <c r="F244" s="20"/>
      <c r="G244" s="21">
        <v>0.55120357178279189</v>
      </c>
      <c r="H244" s="22">
        <v>4</v>
      </c>
      <c r="I244" s="23">
        <f t="shared" si="8"/>
        <v>2.2048142871311676</v>
      </c>
    </row>
    <row r="245" spans="2:9" x14ac:dyDescent="0.25">
      <c r="B245" s="19"/>
      <c r="C245" s="24" t="s">
        <v>601</v>
      </c>
      <c r="D245" s="24" t="s">
        <v>599</v>
      </c>
      <c r="E245" s="20"/>
      <c r="F245" s="20"/>
      <c r="G245" s="21">
        <v>1.3687761449167288</v>
      </c>
      <c r="H245" s="25">
        <v>48</v>
      </c>
      <c r="I245" s="23">
        <f t="shared" si="8"/>
        <v>65.701254956002984</v>
      </c>
    </row>
    <row r="246" spans="2:9" x14ac:dyDescent="0.25">
      <c r="B246" s="19"/>
      <c r="C246" s="24" t="s">
        <v>602</v>
      </c>
      <c r="D246" s="24" t="s">
        <v>599</v>
      </c>
      <c r="E246" s="20"/>
      <c r="F246" s="20"/>
      <c r="G246" s="21">
        <v>1.2508519032880694</v>
      </c>
      <c r="H246" s="25">
        <v>100</v>
      </c>
      <c r="I246" s="23">
        <f t="shared" si="8"/>
        <v>125.08519032880695</v>
      </c>
    </row>
    <row r="247" spans="2:9" x14ac:dyDescent="0.25">
      <c r="B247" s="19"/>
      <c r="C247" s="24" t="s">
        <v>603</v>
      </c>
      <c r="D247" s="24" t="s">
        <v>599</v>
      </c>
      <c r="E247" s="20"/>
      <c r="F247" s="20"/>
      <c r="G247" s="21">
        <v>0.49528132644629719</v>
      </c>
      <c r="H247" s="22">
        <v>94</v>
      </c>
      <c r="I247" s="23">
        <f t="shared" si="8"/>
        <v>46.556444685951938</v>
      </c>
    </row>
    <row r="248" spans="2:9" x14ac:dyDescent="0.25">
      <c r="B248" s="19"/>
      <c r="C248" s="24" t="s">
        <v>604</v>
      </c>
      <c r="D248" s="24" t="s">
        <v>599</v>
      </c>
      <c r="E248" s="20"/>
      <c r="F248" s="20"/>
      <c r="G248" s="21">
        <v>0.29580753987932884</v>
      </c>
      <c r="H248" s="22">
        <v>70</v>
      </c>
      <c r="I248" s="23">
        <f t="shared" si="8"/>
        <v>20.706527791553018</v>
      </c>
    </row>
    <row r="249" spans="2:9" x14ac:dyDescent="0.25">
      <c r="B249" s="19"/>
      <c r="C249" s="24" t="s">
        <v>605</v>
      </c>
      <c r="D249" s="24" t="s">
        <v>606</v>
      </c>
      <c r="E249" s="20"/>
      <c r="F249" s="20"/>
      <c r="G249" s="21">
        <v>15</v>
      </c>
      <c r="H249" s="22">
        <v>34</v>
      </c>
      <c r="I249" s="23">
        <f t="shared" si="8"/>
        <v>510</v>
      </c>
    </row>
    <row r="250" spans="2:9" x14ac:dyDescent="0.25">
      <c r="B250" s="20" t="s">
        <v>607</v>
      </c>
      <c r="C250" s="26" t="s">
        <v>608</v>
      </c>
      <c r="D250" s="26" t="s">
        <v>609</v>
      </c>
      <c r="E250" s="20"/>
      <c r="F250" s="20"/>
      <c r="G250" s="27">
        <v>125</v>
      </c>
      <c r="H250" s="28">
        <v>2</v>
      </c>
      <c r="I250" s="29">
        <f t="shared" si="8"/>
        <v>250</v>
      </c>
    </row>
    <row r="251" spans="2:9" x14ac:dyDescent="0.25">
      <c r="B251" s="20" t="s">
        <v>262</v>
      </c>
      <c r="C251" s="26" t="s">
        <v>610</v>
      </c>
      <c r="D251" s="26" t="s">
        <v>611</v>
      </c>
      <c r="E251" s="20"/>
      <c r="F251" s="20"/>
      <c r="G251" s="27">
        <v>8.2799999999999994</v>
      </c>
      <c r="H251" s="28"/>
      <c r="I251" s="29">
        <f t="shared" si="8"/>
        <v>0</v>
      </c>
    </row>
    <row r="252" spans="2:9" x14ac:dyDescent="0.25">
      <c r="B252" s="4" t="s">
        <v>612</v>
      </c>
      <c r="C252" s="26" t="s">
        <v>613</v>
      </c>
      <c r="D252" s="26" t="s">
        <v>614</v>
      </c>
      <c r="G252" s="30">
        <v>31.95</v>
      </c>
      <c r="H252" s="31">
        <v>1</v>
      </c>
      <c r="I252" s="29">
        <f t="shared" si="8"/>
        <v>31.95</v>
      </c>
    </row>
    <row r="253" spans="2:9" x14ac:dyDescent="0.25">
      <c r="B253" s="4" t="s">
        <v>615</v>
      </c>
      <c r="C253" s="26" t="s">
        <v>616</v>
      </c>
      <c r="D253" s="26" t="s">
        <v>617</v>
      </c>
      <c r="G253" s="30">
        <v>29.92</v>
      </c>
      <c r="H253" s="31">
        <v>0.8</v>
      </c>
      <c r="I253" s="29">
        <f t="shared" si="8"/>
        <v>23.936000000000003</v>
      </c>
    </row>
    <row r="255" spans="2:9" x14ac:dyDescent="0.25">
      <c r="I255" s="32">
        <f>SUM(I3:I253)</f>
        <v>3338.9619853364952</v>
      </c>
    </row>
  </sheetData>
  <pageMargins left="0.75" right="0.75" top="1" bottom="1" header="0.5" footer="0.5"/>
  <pageSetup paperSize="9" scale="65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8CE5DF2564EE47995C3D0C1ABB34CF" ma:contentTypeVersion="11" ma:contentTypeDescription="Create a new document." ma:contentTypeScope="" ma:versionID="1ab69d68033bfa7e747c63ed452bf642">
  <xsd:schema xmlns:xsd="http://www.w3.org/2001/XMLSchema" xmlns:xs="http://www.w3.org/2001/XMLSchema" xmlns:p="http://schemas.microsoft.com/office/2006/metadata/properties" xmlns:ns2="3a52b4d7-aa1e-4f28-9d71-0e4c8481bbc1" xmlns:ns3="60b23abf-6a6d-43df-8491-092e2e44333f" targetNamespace="http://schemas.microsoft.com/office/2006/metadata/properties" ma:root="true" ma:fieldsID="5da7615f30e07294a96219cae2adc35a" ns2:_="" ns3:_="">
    <xsd:import namespace="3a52b4d7-aa1e-4f28-9d71-0e4c8481bbc1"/>
    <xsd:import namespace="60b23abf-6a6d-43df-8491-092e2e44333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52b4d7-aa1e-4f28-9d71-0e4c8481bbc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a220c5dd-36b0-458f-92da-a038f0d8ce3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b23abf-6a6d-43df-8491-092e2e44333f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2c09fa88-df99-46d7-ac8f-802feb655698}" ma:internalName="TaxCatchAll" ma:showField="CatchAllData" ma:web="60b23abf-6a6d-43df-8491-092e2e4433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0b23abf-6a6d-43df-8491-092e2e44333f" xsi:nil="true"/>
    <lcf76f155ced4ddcb4097134ff3c332f xmlns="3a52b4d7-aa1e-4f28-9d71-0e4c8481bbc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9FB5C1C-4C40-4F4F-82C3-A5B9F2977958}"/>
</file>

<file path=customXml/itemProps2.xml><?xml version="1.0" encoding="utf-8"?>
<ds:datastoreItem xmlns:ds="http://schemas.openxmlformats.org/officeDocument/2006/customXml" ds:itemID="{66388CA1-7F10-47E7-953A-2F0BFAD919C5}"/>
</file>

<file path=customXml/itemProps3.xml><?xml version="1.0" encoding="utf-8"?>
<ds:datastoreItem xmlns:ds="http://schemas.openxmlformats.org/officeDocument/2006/customXml" ds:itemID="{6E215E1F-6772-4944-AB02-A5888B96310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Production Kitchen stocktake</vt:lpstr>
      <vt:lpstr>Stock Count Form - city sites</vt:lpstr>
      <vt:lpstr>Bakery stocktake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Cassandra Godden</dc:creator>
  <cp:lastModifiedBy>Cassandra Godden</cp:lastModifiedBy>
  <dcterms:created xsi:type="dcterms:W3CDTF">2025-09-10T04:07:22Z</dcterms:created>
  <dcterms:modified xsi:type="dcterms:W3CDTF">2025-09-10T04:16:12Z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0x010100DE8CE5DF2564EE47995C3D0C1ABB34CF</vt:lpwstr>
  </property>
</Properties>
</file>